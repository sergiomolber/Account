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CH\Account V2\"/>
    </mc:Choice>
  </mc:AlternateContent>
  <xr:revisionPtr revIDLastSave="0" documentId="8_{9C891020-BAE0-4700-B394-97089A3F51AD}" xr6:coauthVersionLast="47" xr6:coauthVersionMax="47" xr10:uidLastSave="{00000000-0000-0000-0000-000000000000}"/>
  <bookViews>
    <workbookView xWindow="-108" yWindow="-108" windowWidth="23256" windowHeight="12456" tabRatio="789" firstSheet="1" activeTab="2" xr2:uid="{69C554EC-06B8-4634-83BA-BAE2B09B7408}"/>
  </bookViews>
  <sheets>
    <sheet name="COVER" sheetId="20" state="veryHidden" r:id="rId1"/>
    <sheet name="ESTIMACIÓN " sheetId="13" r:id="rId2"/>
    <sheet name="MATRIZ TRAZA" sheetId="3" r:id="rId3"/>
    <sheet name="ADMIN TIEMPOS" sheetId="22" r:id="rId4"/>
    <sheet name="BASE CALCULO" sheetId="5" state="veryHidden" r:id="rId5"/>
    <sheet name="ESTANDAR HORAS" sheetId="4" state="veryHidden" r:id="rId6"/>
    <sheet name="GUION" sheetId="23" r:id="rId7"/>
  </sheets>
  <definedNames>
    <definedName name="_xlnm._FilterDatabase" localSheetId="2" hidden="1">'MATRIZ TRAZA'!$B$6:$I$6</definedName>
    <definedName name="AUTO" localSheetId="0">'ESTANDAR HORAS'!$A$37:$A$38</definedName>
    <definedName name="AUTO">'ESTANDAR HORAS'!$A$29:$A$30</definedName>
    <definedName name="CASO" localSheetId="0">'ESTANDAR HORAS'!$A$7:$A$9</definedName>
    <definedName name="CASO">'ESTANDAR HORAS'!$A$7:$A$9</definedName>
    <definedName name="comple">'ESTANDAR HORAS'!$C$16:$C$19</definedName>
    <definedName name="Complejidad" localSheetId="0">'ESTANDAR HORAS'!$C$3:$I$3</definedName>
    <definedName name="Complejidad">'ESTANDAR HORAS'!$C$3:$I$3</definedName>
    <definedName name="Escenarios_de_pruebas">'ESTANDAR HORAS'!$P$21:$P$23</definedName>
    <definedName name="TIPO" localSheetId="0">'ESTANDAR HORAS'!$B$16:$B$37</definedName>
    <definedName name="TIPO">'ESTANDAR HORAS'!$B$16:$B$37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8" i="13" l="1"/>
  <c r="Q37" i="13"/>
  <c r="Q36" i="13"/>
  <c r="BC27" i="5"/>
  <c r="BB27" i="5"/>
  <c r="BA27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N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L28" i="5" s="1" a="1"/>
  <c r="C27" i="5"/>
  <c r="B27" i="5"/>
  <c r="K27" i="5"/>
  <c r="J27" i="5"/>
  <c r="I27" i="5"/>
  <c r="H27" i="5"/>
  <c r="G27" i="5"/>
  <c r="F27" i="5"/>
  <c r="E27" i="5"/>
  <c r="D27" i="5"/>
  <c r="D28" i="5" s="1" a="1"/>
  <c r="BC26" i="5"/>
  <c r="BB26" i="5"/>
  <c r="BA26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N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B26" i="5"/>
  <c r="AF28" i="5" l="1" a="1"/>
  <c r="AW28" i="5" a="1"/>
  <c r="R28" i="5" a="1"/>
  <c r="Z28" i="5" a="1"/>
  <c r="T28" i="5" a="1"/>
  <c r="AB28" i="5" a="1"/>
  <c r="AY28" i="5" a="1"/>
  <c r="B28" i="5" a="1"/>
  <c r="AI28" i="5" a="1"/>
  <c r="AQ28" i="5" a="1"/>
  <c r="U28" i="5" a="1"/>
  <c r="M28" i="5" a="1"/>
  <c r="P28" i="5" a="1"/>
  <c r="J28" i="5" a="1"/>
  <c r="E28" i="5" a="1"/>
  <c r="GL27" i="5"/>
  <c r="N37" i="13" s="1"/>
  <c r="N38" i="13" s="1"/>
  <c r="AV28" i="5" a="1"/>
  <c r="H28" i="5" a="1"/>
  <c r="X28" i="5" a="1"/>
  <c r="AD28" i="5" a="1"/>
  <c r="AL28" i="5" a="1"/>
  <c r="AT28" i="5" a="1"/>
  <c r="BB28" i="5" a="1"/>
  <c r="C28" i="5" a="1"/>
  <c r="K28" i="5" a="1"/>
  <c r="S28" i="5" a="1"/>
  <c r="AA28" i="5" a="1"/>
  <c r="AS28" i="5" a="1"/>
  <c r="BA28" i="5" a="1"/>
  <c r="AH28" i="5" a="1"/>
  <c r="AP28" i="5" a="1"/>
  <c r="AX28" i="5" a="1"/>
  <c r="O28" i="5" a="1"/>
  <c r="I28" i="5" a="1"/>
  <c r="Q28" i="5" a="1"/>
  <c r="Y28" i="5" a="1"/>
  <c r="G28" i="5" a="1"/>
  <c r="W28" i="5" a="1"/>
  <c r="AJ28" i="5" a="1"/>
  <c r="AR28" i="5" a="1"/>
  <c r="AZ28" i="5" a="1"/>
  <c r="AN28" i="5" a="1"/>
  <c r="AE28" i="5" a="1"/>
  <c r="AM28" i="5" a="1"/>
  <c r="AU28" i="5" a="1"/>
  <c r="BC28" i="5" a="1"/>
  <c r="AC28" i="5" a="1"/>
  <c r="AK28" i="5" a="1"/>
  <c r="AG28" i="5" a="1"/>
  <c r="AO28" i="5" a="1"/>
  <c r="F28" i="5" a="1"/>
  <c r="N28" i="5" a="1"/>
  <c r="V28" i="5" a="1"/>
  <c r="CD10" i="5"/>
  <c r="CD8" i="5"/>
  <c r="CC10" i="5"/>
  <c r="CC8" i="5"/>
  <c r="CB10" i="5"/>
  <c r="CB8" i="5"/>
  <c r="CA10" i="5"/>
  <c r="CA8" i="5"/>
  <c r="BZ10" i="5"/>
  <c r="BZ8" i="5"/>
  <c r="BY10" i="5"/>
  <c r="BX10" i="5"/>
  <c r="BX8" i="5"/>
  <c r="BW10" i="5"/>
  <c r="BW8" i="5"/>
  <c r="BV10" i="5"/>
  <c r="BV8" i="5"/>
  <c r="BM10" i="5"/>
  <c r="BN10" i="5"/>
  <c r="BO10" i="5"/>
  <c r="BP10" i="5"/>
  <c r="BQ10" i="5"/>
  <c r="BR10" i="5"/>
  <c r="BS10" i="5"/>
  <c r="BT10" i="5"/>
  <c r="BU10" i="5"/>
  <c r="J10" i="5" l="1"/>
  <c r="FP10" i="5" l="1"/>
  <c r="FP8" i="5"/>
  <c r="FO10" i="5"/>
  <c r="FO8" i="5"/>
  <c r="FN10" i="5"/>
  <c r="FN8" i="5"/>
  <c r="FM10" i="5"/>
  <c r="FM8" i="5"/>
  <c r="FL10" i="5"/>
  <c r="FL8" i="5"/>
  <c r="FK10" i="5"/>
  <c r="FK8" i="5"/>
  <c r="FJ10" i="5"/>
  <c r="FJ8" i="5"/>
  <c r="FI10" i="5"/>
  <c r="FI8" i="5"/>
  <c r="FH10" i="5"/>
  <c r="FH8" i="5"/>
  <c r="DW10" i="5"/>
  <c r="DW8" i="5"/>
  <c r="DV10" i="5"/>
  <c r="DV8" i="5"/>
  <c r="DU10" i="5"/>
  <c r="DU8" i="5"/>
  <c r="DT10" i="5"/>
  <c r="DT8" i="5"/>
  <c r="DS10" i="5"/>
  <c r="DS8" i="5"/>
  <c r="DR10" i="5"/>
  <c r="DR8" i="5"/>
  <c r="DQ10" i="5"/>
  <c r="DQ8" i="5"/>
  <c r="DP10" i="5"/>
  <c r="DP8" i="5"/>
  <c r="DO10" i="5"/>
  <c r="DO8" i="5"/>
  <c r="BU8" i="5"/>
  <c r="BT8" i="5"/>
  <c r="BS8" i="5"/>
  <c r="BR8" i="5"/>
  <c r="BQ8" i="5"/>
  <c r="BP8" i="5"/>
  <c r="BO8" i="5"/>
  <c r="BN8" i="5"/>
  <c r="BM8" i="5"/>
  <c r="AB10" i="5"/>
  <c r="AB8" i="5"/>
  <c r="AA10" i="5"/>
  <c r="AA8" i="5"/>
  <c r="Z10" i="5"/>
  <c r="Z8" i="5"/>
  <c r="Y10" i="5"/>
  <c r="Y8" i="5"/>
  <c r="X10" i="5"/>
  <c r="X8" i="5"/>
  <c r="W10" i="5"/>
  <c r="W8" i="5"/>
  <c r="V10" i="5"/>
  <c r="V8" i="5"/>
  <c r="U10" i="5"/>
  <c r="U8" i="5"/>
  <c r="T10" i="5"/>
  <c r="T8" i="5"/>
  <c r="S10" i="5"/>
  <c r="S8" i="5"/>
  <c r="R10" i="5"/>
  <c r="R8" i="5"/>
  <c r="P10" i="5"/>
  <c r="Q10" i="5"/>
  <c r="Q8" i="5"/>
  <c r="P8" i="5"/>
  <c r="O10" i="5"/>
  <c r="O8" i="5"/>
  <c r="N10" i="5"/>
  <c r="N8" i="5"/>
  <c r="M10" i="5"/>
  <c r="M8" i="5"/>
  <c r="L10" i="5"/>
  <c r="L8" i="5"/>
  <c r="K8" i="5"/>
  <c r="K10" i="5"/>
  <c r="J8" i="5"/>
  <c r="I10" i="5"/>
  <c r="I8" i="5"/>
  <c r="H10" i="5"/>
  <c r="H8" i="5"/>
  <c r="G10" i="5"/>
  <c r="G8" i="5"/>
  <c r="F10" i="5"/>
  <c r="F8" i="5"/>
  <c r="E10" i="5"/>
  <c r="D10" i="5"/>
  <c r="C10" i="5"/>
  <c r="B10" i="5"/>
  <c r="DN8" i="5"/>
  <c r="DM8" i="5"/>
  <c r="DL8" i="5"/>
  <c r="DK8" i="5"/>
  <c r="DJ8" i="5"/>
  <c r="DI8" i="5"/>
  <c r="DH8" i="5"/>
  <c r="DG8" i="5"/>
  <c r="DF8" i="5"/>
  <c r="CM8" i="5"/>
  <c r="CL8" i="5"/>
  <c r="CK8" i="5"/>
  <c r="CJ8" i="5"/>
  <c r="CI8" i="5"/>
  <c r="CH8" i="5"/>
  <c r="CG8" i="5"/>
  <c r="CF8" i="5"/>
  <c r="CE8" i="5"/>
  <c r="BY8" i="5"/>
  <c r="D8" i="5"/>
  <c r="C8" i="5"/>
  <c r="B8" i="5"/>
  <c r="E8" i="5"/>
  <c r="B29" i="13"/>
  <c r="B28" i="13"/>
  <c r="B26" i="13"/>
  <c r="GL10" i="5" l="1"/>
  <c r="N7" i="13" s="1"/>
  <c r="B27" i="13"/>
  <c r="GS13" i="5" l="1"/>
  <c r="GQ13" i="5"/>
  <c r="GO13" i="5"/>
  <c r="GN13" i="5"/>
  <c r="GS5" i="5" l="1"/>
  <c r="GR5" i="5"/>
  <c r="GQ5" i="5"/>
  <c r="GO5" i="5"/>
  <c r="GN5" i="5"/>
  <c r="BC15" i="5" l="1"/>
  <c r="AY15" i="5"/>
  <c r="AX15" i="5"/>
  <c r="BC14" i="5"/>
  <c r="BB15" i="5"/>
  <c r="BA15" i="5"/>
  <c r="BA14" i="5"/>
  <c r="AZ15" i="5"/>
  <c r="AX14" i="5"/>
  <c r="AW15" i="5"/>
  <c r="AW14" i="5"/>
  <c r="AU15" i="5"/>
  <c r="AV15" i="5"/>
  <c r="BB14" i="5"/>
  <c r="AZ14" i="5"/>
  <c r="AY14" i="5"/>
  <c r="AV14" i="5"/>
  <c r="AU14" i="5"/>
  <c r="A4" i="5"/>
  <c r="GL15" i="5" l="1"/>
  <c r="N25" i="13" s="1"/>
  <c r="GH19" i="5"/>
  <c r="FX19" i="5"/>
  <c r="GF19" i="5"/>
  <c r="CJ19" i="5"/>
  <c r="GD19" i="5"/>
  <c r="CH19" i="5"/>
  <c r="GA19" i="5"/>
  <c r="FZ19" i="5"/>
  <c r="K4" i="4"/>
  <c r="J4" i="4"/>
  <c r="I4" i="4"/>
  <c r="H4" i="4"/>
  <c r="G4" i="4"/>
  <c r="F4" i="4"/>
  <c r="E4" i="4"/>
  <c r="D4" i="4"/>
  <c r="C4" i="4"/>
  <c r="GG19" i="5"/>
  <c r="GC19" i="5"/>
  <c r="GB19" i="5"/>
  <c r="FY19" i="5"/>
  <c r="FU19" i="5"/>
  <c r="FT19" i="5"/>
  <c r="FS19" i="5"/>
  <c r="FQ19" i="5"/>
  <c r="EU19" i="5"/>
  <c r="ET19" i="5"/>
  <c r="ES19" i="5"/>
  <c r="ER19" i="5"/>
  <c r="EQ19" i="5"/>
  <c r="EM19" i="5"/>
  <c r="EL19" i="5"/>
  <c r="EK19" i="5"/>
  <c r="EJ19" i="5"/>
  <c r="EI19" i="5"/>
  <c r="EE19" i="5"/>
  <c r="ED19" i="5"/>
  <c r="EC19" i="5"/>
  <c r="EB19" i="5"/>
  <c r="EA19" i="5"/>
  <c r="CS19" i="5"/>
  <c r="CR19" i="5"/>
  <c r="CM19" i="5"/>
  <c r="CL19" i="5"/>
  <c r="CK19" i="5"/>
  <c r="CI19" i="5"/>
  <c r="CG19" i="5"/>
  <c r="CF19" i="5"/>
  <c r="CE19" i="5"/>
  <c r="DZ19" i="5"/>
  <c r="DY19" i="5"/>
  <c r="CQ19" i="5"/>
  <c r="CP19" i="5"/>
  <c r="CO19" i="5"/>
  <c r="CN19" i="5"/>
  <c r="GH18" i="5"/>
  <c r="GG18" i="5"/>
  <c r="GF18" i="5"/>
  <c r="GE18" i="5"/>
  <c r="GD18" i="5"/>
  <c r="GC18" i="5"/>
  <c r="GB18" i="5"/>
  <c r="GA18" i="5"/>
  <c r="FZ18" i="5"/>
  <c r="FY18" i="5"/>
  <c r="FX18" i="5"/>
  <c r="FW18" i="5"/>
  <c r="FV18" i="5"/>
  <c r="FU18" i="5"/>
  <c r="FT18" i="5"/>
  <c r="FS18" i="5"/>
  <c r="FR18" i="5"/>
  <c r="FQ18" i="5"/>
  <c r="EX18" i="5"/>
  <c r="EW18" i="5"/>
  <c r="EV18" i="5"/>
  <c r="EU18" i="5"/>
  <c r="ET18" i="5"/>
  <c r="ES18" i="5"/>
  <c r="ER18" i="5"/>
  <c r="EQ18" i="5"/>
  <c r="EP18" i="5"/>
  <c r="EO18" i="5"/>
  <c r="EN18" i="5"/>
  <c r="EM18" i="5"/>
  <c r="EL18" i="5"/>
  <c r="EK18" i="5"/>
  <c r="EJ18" i="5"/>
  <c r="EI18" i="5"/>
  <c r="EH18" i="5"/>
  <c r="EG18" i="5"/>
  <c r="EF18" i="5"/>
  <c r="EE18" i="5"/>
  <c r="ED18" i="5"/>
  <c r="EC18" i="5"/>
  <c r="EB18" i="5"/>
  <c r="EA18" i="5"/>
  <c r="DZ18" i="5"/>
  <c r="DY18" i="5"/>
  <c r="DX18" i="5"/>
  <c r="DE18" i="5"/>
  <c r="DD18" i="5"/>
  <c r="DC18" i="5"/>
  <c r="DB18" i="5"/>
  <c r="DA18" i="5"/>
  <c r="CZ18" i="5"/>
  <c r="CY18" i="5"/>
  <c r="CX18" i="5"/>
  <c r="CW18" i="5"/>
  <c r="CV18" i="5"/>
  <c r="CU18" i="5"/>
  <c r="CT18" i="5"/>
  <c r="CS18" i="5"/>
  <c r="CR18" i="5"/>
  <c r="CQ18" i="5"/>
  <c r="CP18" i="5"/>
  <c r="CO18" i="5"/>
  <c r="CN18" i="5"/>
  <c r="CM18" i="5"/>
  <c r="CL18" i="5"/>
  <c r="CK18" i="5"/>
  <c r="CJ18" i="5"/>
  <c r="CI18" i="5"/>
  <c r="CH18" i="5"/>
  <c r="CG18" i="5"/>
  <c r="CF18" i="5"/>
  <c r="CE18" i="5"/>
  <c r="AT18" i="5"/>
  <c r="AS18" i="5"/>
  <c r="AR18" i="5"/>
  <c r="AQ18" i="5"/>
  <c r="AP18" i="5"/>
  <c r="AO18" i="5"/>
  <c r="AN18" i="5"/>
  <c r="AM18" i="5"/>
  <c r="AL18" i="5"/>
  <c r="AK18" i="5"/>
  <c r="AJ18" i="5"/>
  <c r="AI18" i="5"/>
  <c r="AH18" i="5"/>
  <c r="AG18" i="5"/>
  <c r="AF18" i="5"/>
  <c r="AE18" i="5"/>
  <c r="AD18" i="5"/>
  <c r="AC18" i="5"/>
  <c r="BO9" i="5"/>
  <c r="BN9" i="5"/>
  <c r="BM9" i="5"/>
  <c r="FG9" i="5"/>
  <c r="FE9" i="5"/>
  <c r="FD9" i="5"/>
  <c r="FC9" i="5"/>
  <c r="FB9" i="5"/>
  <c r="FA9" i="5"/>
  <c r="EZ9" i="5"/>
  <c r="EY9" i="5"/>
  <c r="FF8" i="5"/>
  <c r="FE8" i="5"/>
  <c r="FD8" i="5"/>
  <c r="FC8" i="5"/>
  <c r="FB8" i="5"/>
  <c r="FA8" i="5"/>
  <c r="EY8" i="5"/>
  <c r="DW13" i="5"/>
  <c r="DV13" i="5"/>
  <c r="DU13" i="5"/>
  <c r="DU16" i="5" s="1"/>
  <c r="DT13" i="5"/>
  <c r="DT16" i="5" s="1"/>
  <c r="DS13" i="5"/>
  <c r="DS16" i="5" s="1"/>
  <c r="DR13" i="5"/>
  <c r="DR16" i="5" s="1"/>
  <c r="DQ13" i="5"/>
  <c r="DQ16" i="5" s="1"/>
  <c r="DP13" i="5"/>
  <c r="DP16" i="5" s="1"/>
  <c r="DO13" i="5"/>
  <c r="DN13" i="5"/>
  <c r="DM13" i="5"/>
  <c r="DL13" i="5"/>
  <c r="DK13" i="5"/>
  <c r="DJ13" i="5"/>
  <c r="DI13" i="5"/>
  <c r="DH13" i="5"/>
  <c r="DG13" i="5"/>
  <c r="DF13" i="5"/>
  <c r="DE13" i="5"/>
  <c r="DD13" i="5"/>
  <c r="DC13" i="5"/>
  <c r="DB13" i="5"/>
  <c r="DA13" i="5"/>
  <c r="CZ13" i="5"/>
  <c r="CY13" i="5"/>
  <c r="CX13" i="5"/>
  <c r="CW13" i="5"/>
  <c r="CV13" i="5"/>
  <c r="CU13" i="5"/>
  <c r="CT13" i="5"/>
  <c r="CS13" i="5"/>
  <c r="CR13" i="5"/>
  <c r="CQ13" i="5"/>
  <c r="CP13" i="5"/>
  <c r="CO13" i="5"/>
  <c r="CN13" i="5"/>
  <c r="CM13" i="5"/>
  <c r="CL13" i="5"/>
  <c r="CK13" i="5"/>
  <c r="CJ13" i="5"/>
  <c r="CI13" i="5"/>
  <c r="CH13" i="5"/>
  <c r="CG13" i="5"/>
  <c r="CF13" i="5"/>
  <c r="CE13" i="5"/>
  <c r="BL13" i="5"/>
  <c r="BK13" i="5"/>
  <c r="BJ13" i="5"/>
  <c r="BI13" i="5"/>
  <c r="BH13" i="5"/>
  <c r="BG13" i="5"/>
  <c r="BF13" i="5"/>
  <c r="BE13" i="5"/>
  <c r="BD13" i="5"/>
  <c r="BC13" i="5"/>
  <c r="BC17" i="5" s="1"/>
  <c r="BB13" i="5"/>
  <c r="BB16" i="5" s="1"/>
  <c r="BA13" i="5"/>
  <c r="BA16" i="5" s="1"/>
  <c r="AZ13" i="5"/>
  <c r="AZ17" i="5" s="1"/>
  <c r="AY13" i="5"/>
  <c r="AY16" i="5" s="1"/>
  <c r="AX13" i="5"/>
  <c r="AX16" i="5" s="1"/>
  <c r="AW13" i="5"/>
  <c r="AW16" i="5" s="1"/>
  <c r="AV13" i="5"/>
  <c r="AV16" i="5" s="1"/>
  <c r="AU13" i="5"/>
  <c r="AU17" i="5" s="1"/>
  <c r="AT13" i="5"/>
  <c r="AS13" i="5"/>
  <c r="AR13" i="5"/>
  <c r="AQ13" i="5"/>
  <c r="AP13" i="5"/>
  <c r="AO13" i="5"/>
  <c r="AN13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M13" i="5"/>
  <c r="L13" i="5"/>
  <c r="K13" i="5"/>
  <c r="C13" i="5"/>
  <c r="D13" i="5"/>
  <c r="E13" i="5"/>
  <c r="F13" i="5"/>
  <c r="G13" i="5"/>
  <c r="H13" i="5"/>
  <c r="I13" i="5"/>
  <c r="J13" i="5"/>
  <c r="B13" i="5"/>
  <c r="GH7" i="5"/>
  <c r="GG7" i="5"/>
  <c r="GF7" i="5"/>
  <c r="GE7" i="5"/>
  <c r="GD7" i="5"/>
  <c r="GC7" i="5"/>
  <c r="GB7" i="5"/>
  <c r="GA7" i="5"/>
  <c r="FZ7" i="5"/>
  <c r="FY7" i="5"/>
  <c r="FX7" i="5"/>
  <c r="FW7" i="5"/>
  <c r="FV7" i="5"/>
  <c r="FU7" i="5"/>
  <c r="FT7" i="5"/>
  <c r="FS7" i="5"/>
  <c r="FR7" i="5"/>
  <c r="FQ7" i="5"/>
  <c r="FP7" i="5"/>
  <c r="FO7" i="5"/>
  <c r="FN7" i="5"/>
  <c r="FM7" i="5"/>
  <c r="FL7" i="5"/>
  <c r="FK7" i="5"/>
  <c r="FJ7" i="5"/>
  <c r="FI7" i="5"/>
  <c r="FH7" i="5"/>
  <c r="EX7" i="5"/>
  <c r="EW7" i="5"/>
  <c r="EV7" i="5"/>
  <c r="EU7" i="5"/>
  <c r="ET7" i="5"/>
  <c r="ES7" i="5"/>
  <c r="ER7" i="5"/>
  <c r="EQ7" i="5"/>
  <c r="EP7" i="5"/>
  <c r="EO7" i="5"/>
  <c r="EN7" i="5"/>
  <c r="EM7" i="5"/>
  <c r="EL7" i="5"/>
  <c r="EK7" i="5"/>
  <c r="EJ7" i="5"/>
  <c r="EI7" i="5"/>
  <c r="EH7" i="5"/>
  <c r="EG7" i="5"/>
  <c r="EF7" i="5"/>
  <c r="EE7" i="5"/>
  <c r="ED7" i="5"/>
  <c r="EC7" i="5"/>
  <c r="EB7" i="5"/>
  <c r="EA7" i="5"/>
  <c r="DZ7" i="5"/>
  <c r="DY7" i="5"/>
  <c r="DX7" i="5"/>
  <c r="DW7" i="5"/>
  <c r="DV7" i="5"/>
  <c r="DU7" i="5"/>
  <c r="DT7" i="5"/>
  <c r="DS7" i="5"/>
  <c r="DR7" i="5"/>
  <c r="DQ7" i="5"/>
  <c r="DP7" i="5"/>
  <c r="DO7" i="5"/>
  <c r="DN7" i="5"/>
  <c r="DM7" i="5"/>
  <c r="DL7" i="5"/>
  <c r="DK7" i="5"/>
  <c r="DJ7" i="5"/>
  <c r="DI7" i="5"/>
  <c r="DH7" i="5"/>
  <c r="DG7" i="5"/>
  <c r="DF7" i="5"/>
  <c r="DE7" i="5"/>
  <c r="DD7" i="5"/>
  <c r="DC7" i="5"/>
  <c r="DB7" i="5"/>
  <c r="DA7" i="5"/>
  <c r="CZ7" i="5"/>
  <c r="CY7" i="5"/>
  <c r="CX7" i="5"/>
  <c r="CW7" i="5"/>
  <c r="CV7" i="5"/>
  <c r="CU7" i="5"/>
  <c r="CT7" i="5"/>
  <c r="CS7" i="5"/>
  <c r="CR7" i="5"/>
  <c r="CQ7" i="5"/>
  <c r="CP7" i="5"/>
  <c r="CO7" i="5"/>
  <c r="CN7" i="5"/>
  <c r="CM7" i="5"/>
  <c r="CL7" i="5"/>
  <c r="CK7" i="5"/>
  <c r="CJ7" i="5"/>
  <c r="CI7" i="5"/>
  <c r="CH7" i="5"/>
  <c r="CG7" i="5"/>
  <c r="CF7" i="5"/>
  <c r="CE7" i="5"/>
  <c r="CD7" i="5"/>
  <c r="CD12" i="5" s="1"/>
  <c r="CC7" i="5"/>
  <c r="CC12" i="5" s="1"/>
  <c r="CB7" i="5"/>
  <c r="CB12" i="5" s="1"/>
  <c r="CA7" i="5"/>
  <c r="CA12" i="5" s="1"/>
  <c r="BZ7" i="5"/>
  <c r="BZ12" i="5" s="1"/>
  <c r="BY7" i="5"/>
  <c r="BY12" i="5" s="1"/>
  <c r="BX7" i="5"/>
  <c r="BX12" i="5" s="1"/>
  <c r="BW7" i="5"/>
  <c r="BW12" i="5" s="1"/>
  <c r="BV7" i="5"/>
  <c r="BV12" i="5" s="1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B12" i="5" s="1"/>
  <c r="AA7" i="5"/>
  <c r="AA12" i="5" s="1"/>
  <c r="Z7" i="5"/>
  <c r="Z12" i="5" s="1"/>
  <c r="Y7" i="5"/>
  <c r="Y12" i="5" s="1"/>
  <c r="X7" i="5"/>
  <c r="X12" i="5" s="1"/>
  <c r="W7" i="5"/>
  <c r="W12" i="5" s="1"/>
  <c r="V7" i="5"/>
  <c r="V12" i="5" s="1"/>
  <c r="U7" i="5"/>
  <c r="U12" i="5" s="1"/>
  <c r="T7" i="5"/>
  <c r="T12" i="5" s="1"/>
  <c r="S7" i="5"/>
  <c r="S12" i="5" s="1"/>
  <c r="R7" i="5"/>
  <c r="R12" i="5" s="1"/>
  <c r="Q7" i="5"/>
  <c r="Q12" i="5" s="1"/>
  <c r="P7" i="5"/>
  <c r="P12" i="5" s="1"/>
  <c r="O7" i="5"/>
  <c r="O12" i="5" s="1"/>
  <c r="N7" i="5"/>
  <c r="N12" i="5" s="1"/>
  <c r="M7" i="5"/>
  <c r="M12" i="5" s="1"/>
  <c r="L7" i="5"/>
  <c r="L12" i="5" s="1"/>
  <c r="K7" i="5"/>
  <c r="K12" i="5" s="1"/>
  <c r="J7" i="5"/>
  <c r="J12" i="5" s="1"/>
  <c r="I7" i="5"/>
  <c r="I12" i="5" s="1"/>
  <c r="H7" i="5"/>
  <c r="H12" i="5" s="1"/>
  <c r="G7" i="5"/>
  <c r="G12" i="5" s="1"/>
  <c r="F7" i="5"/>
  <c r="F12" i="5" s="1"/>
  <c r="E7" i="5"/>
  <c r="D7" i="5"/>
  <c r="D12" i="5" s="1"/>
  <c r="C7" i="5"/>
  <c r="C12" i="5" s="1"/>
  <c r="B7" i="5"/>
  <c r="B12" i="5" s="1"/>
  <c r="BU9" i="5"/>
  <c r="BT9" i="5"/>
  <c r="BS9" i="5"/>
  <c r="BR9" i="5"/>
  <c r="BQ9" i="5"/>
  <c r="BP9" i="5"/>
  <c r="FP9" i="5"/>
  <c r="FN9" i="5"/>
  <c r="FM9" i="5"/>
  <c r="FL9" i="5"/>
  <c r="FK9" i="5"/>
  <c r="FJ9" i="5"/>
  <c r="FI9" i="5"/>
  <c r="FH9" i="5"/>
  <c r="DW9" i="5"/>
  <c r="DV9" i="5"/>
  <c r="DU9" i="5"/>
  <c r="DT9" i="5"/>
  <c r="DS9" i="5"/>
  <c r="DR9" i="5"/>
  <c r="DQ9" i="5"/>
  <c r="DO9" i="5"/>
  <c r="DN14" i="5"/>
  <c r="DM14" i="5"/>
  <c r="DL14" i="5"/>
  <c r="DK14" i="5"/>
  <c r="DJ14" i="5"/>
  <c r="DJ16" i="5" s="1"/>
  <c r="DI14" i="5"/>
  <c r="DH14" i="5"/>
  <c r="DG14" i="5"/>
  <c r="AW17" i="5" l="1"/>
  <c r="BB17" i="5"/>
  <c r="AU16" i="5"/>
  <c r="BA17" i="5"/>
  <c r="AV17" i="5"/>
  <c r="AX17" i="5"/>
  <c r="E12" i="5"/>
  <c r="GL12" i="5" s="1"/>
  <c r="BC16" i="5"/>
  <c r="AZ16" i="5"/>
  <c r="AY17" i="5"/>
  <c r="GC20" i="5"/>
  <c r="GF20" i="5"/>
  <c r="FS20" i="5"/>
  <c r="EC20" i="5"/>
  <c r="FU20" i="5"/>
  <c r="FT20" i="5"/>
  <c r="GD20" i="5"/>
  <c r="ES20" i="5"/>
  <c r="GB20" i="5"/>
  <c r="DL16" i="5"/>
  <c r="DI16" i="5"/>
  <c r="DG16" i="5"/>
  <c r="DM16" i="5"/>
  <c r="DH16" i="5"/>
  <c r="DK16" i="5"/>
  <c r="DN16" i="5"/>
  <c r="CT19" i="5"/>
  <c r="CT20" i="5" s="1"/>
  <c r="EF19" i="5"/>
  <c r="EF20" i="5" s="1"/>
  <c r="EN19" i="5"/>
  <c r="EV19" i="5"/>
  <c r="EV20" i="5" s="1"/>
  <c r="FV19" i="5"/>
  <c r="FV20" i="5" s="1"/>
  <c r="CU19" i="5"/>
  <c r="EG19" i="5"/>
  <c r="EG20" i="5" s="1"/>
  <c r="EO19" i="5"/>
  <c r="EW19" i="5"/>
  <c r="FW19" i="5"/>
  <c r="FW20" i="5" s="1"/>
  <c r="GE19" i="5"/>
  <c r="GE20" i="5" s="1"/>
  <c r="DP9" i="5"/>
  <c r="FH11" i="5" a="1"/>
  <c r="FP11" i="5" a="1"/>
  <c r="FO9" i="5"/>
  <c r="FO11" i="5" s="1" a="1"/>
  <c r="EZ8" i="5"/>
  <c r="EZ11" i="5" s="1" a="1"/>
  <c r="FG8" i="5"/>
  <c r="FG11" i="5" s="1" a="1"/>
  <c r="FF9" i="5"/>
  <c r="FF11" i="5" s="1" a="1"/>
  <c r="DX19" i="5"/>
  <c r="CV19" i="5"/>
  <c r="EH19" i="5"/>
  <c r="EH20" i="5" s="1"/>
  <c r="EP19" i="5"/>
  <c r="EX19" i="5"/>
  <c r="FR19" i="5"/>
  <c r="FR20" i="5" s="1"/>
  <c r="ER20" i="5"/>
  <c r="ED20" i="5"/>
  <c r="EL20" i="5"/>
  <c r="EM20" i="5"/>
  <c r="ET20" i="5"/>
  <c r="GA20" i="5"/>
  <c r="EQ20" i="5"/>
  <c r="EU20" i="5"/>
  <c r="EJ20" i="5"/>
  <c r="EK20" i="5"/>
  <c r="EI20" i="5"/>
  <c r="DZ20" i="5"/>
  <c r="EB20" i="5"/>
  <c r="EA20" i="5"/>
  <c r="DY20" i="5"/>
  <c r="FE11" i="5" a="1"/>
  <c r="FD11" i="5" a="1"/>
  <c r="FC11" i="5" a="1"/>
  <c r="FB11" i="5" a="1"/>
  <c r="FA11" i="5" a="1"/>
  <c r="EE20" i="5"/>
  <c r="GG20" i="5"/>
  <c r="FX20" i="5"/>
  <c r="GH20" i="5"/>
  <c r="FY20" i="5"/>
  <c r="FN11" i="5" a="1"/>
  <c r="FM11" i="5" a="1"/>
  <c r="FL11" i="5" a="1"/>
  <c r="FK11" i="5" a="1"/>
  <c r="FJ11" i="5" a="1"/>
  <c r="FI11" i="5" a="1"/>
  <c r="DE19" i="5"/>
  <c r="DD19" i="5"/>
  <c r="DC19" i="5"/>
  <c r="DC20" i="5" s="1"/>
  <c r="DB19" i="5"/>
  <c r="DB20" i="5" s="1"/>
  <c r="DA19" i="5"/>
  <c r="DA20" i="5" s="1"/>
  <c r="CZ19" i="5"/>
  <c r="CZ20" i="5" s="1"/>
  <c r="CY19" i="5"/>
  <c r="CY20" i="5" s="1"/>
  <c r="CX19" i="5"/>
  <c r="CX20" i="5" s="1"/>
  <c r="CW19" i="5"/>
  <c r="DN11" i="5" a="1"/>
  <c r="DM11" i="5" a="1"/>
  <c r="DL11" i="5" a="1"/>
  <c r="DK11" i="5" a="1"/>
  <c r="DJ11" i="5" a="1"/>
  <c r="DI11" i="5" a="1"/>
  <c r="DH11" i="5" a="1"/>
  <c r="DG11" i="5" a="1"/>
  <c r="DE14" i="5"/>
  <c r="DE16" i="5" s="1"/>
  <c r="DD14" i="5"/>
  <c r="DD16" i="5" s="1"/>
  <c r="DC14" i="5"/>
  <c r="DC16" i="5" s="1"/>
  <c r="DB14" i="5"/>
  <c r="DB16" i="5" s="1"/>
  <c r="DA14" i="5"/>
  <c r="DA16" i="5" s="1"/>
  <c r="CZ14" i="5"/>
  <c r="CZ16" i="5" s="1"/>
  <c r="CY14" i="5"/>
  <c r="CY16" i="5" s="1"/>
  <c r="CX14" i="5"/>
  <c r="CX16" i="5" s="1"/>
  <c r="CW14" i="5"/>
  <c r="CW16" i="5" s="1"/>
  <c r="CS20" i="5"/>
  <c r="CR20" i="5"/>
  <c r="CQ20" i="5"/>
  <c r="CP20" i="5"/>
  <c r="CO20" i="5"/>
  <c r="CU14" i="5"/>
  <c r="CU16" i="5" s="1"/>
  <c r="CT14" i="5"/>
  <c r="CT16" i="5" s="1"/>
  <c r="CS14" i="5"/>
  <c r="CS16" i="5" s="1"/>
  <c r="CR14" i="5"/>
  <c r="CR16" i="5" s="1"/>
  <c r="CQ14" i="5"/>
  <c r="CQ16" i="5" s="1"/>
  <c r="CN14" i="5"/>
  <c r="CN16" i="5" s="1"/>
  <c r="CO14" i="5"/>
  <c r="CO16" i="5" s="1"/>
  <c r="CP14" i="5"/>
  <c r="CP16" i="5" s="1"/>
  <c r="CV14" i="5"/>
  <c r="CV16" i="5" s="1"/>
  <c r="CM14" i="5"/>
  <c r="CM16" i="5" s="1"/>
  <c r="R4" i="13"/>
  <c r="K28" i="13" s="1"/>
  <c r="R16" i="13"/>
  <c r="Q16" i="13"/>
  <c r="CK20" i="5"/>
  <c r="CJ20" i="5"/>
  <c r="CI20" i="5"/>
  <c r="CH20" i="5"/>
  <c r="CG20" i="5"/>
  <c r="CF20" i="5"/>
  <c r="CL14" i="5"/>
  <c r="CL16" i="5" s="1"/>
  <c r="CK14" i="5"/>
  <c r="CK16" i="5" s="1"/>
  <c r="CJ14" i="5"/>
  <c r="CJ16" i="5" s="1"/>
  <c r="CI14" i="5"/>
  <c r="CI16" i="5" s="1"/>
  <c r="CH14" i="5"/>
  <c r="CH16" i="5" s="1"/>
  <c r="CG14" i="5"/>
  <c r="CG16" i="5" s="1"/>
  <c r="CF14" i="5"/>
  <c r="CF16" i="5" s="1"/>
  <c r="CE14" i="5"/>
  <c r="CE16" i="5" s="1"/>
  <c r="CM11" i="5" a="1"/>
  <c r="CL11" i="5" a="1"/>
  <c r="CK11" i="5" a="1"/>
  <c r="CJ11" i="5" a="1"/>
  <c r="CI11" i="5" a="1"/>
  <c r="CH11" i="5" a="1"/>
  <c r="CG11" i="5" a="1"/>
  <c r="CF11" i="5" a="1"/>
  <c r="CE11" i="5" a="1"/>
  <c r="CD11" i="5" a="1"/>
  <c r="CC11" i="5" a="1"/>
  <c r="CB11" i="5" a="1"/>
  <c r="CA11" i="5" a="1"/>
  <c r="BZ11" i="5" a="1"/>
  <c r="BY11" i="5" a="1"/>
  <c r="BX11" i="5" a="1"/>
  <c r="BW11" i="5" a="1"/>
  <c r="BV11" i="5" a="1"/>
  <c r="BU11" i="5" a="1"/>
  <c r="BT11" i="5" a="1"/>
  <c r="BS11" i="5" a="1"/>
  <c r="BR11" i="5" a="1"/>
  <c r="BQ11" i="5" a="1"/>
  <c r="BP11" i="5" a="1"/>
  <c r="BO11" i="5" a="1"/>
  <c r="BN11" i="5" a="1"/>
  <c r="BD8" i="5"/>
  <c r="BD11" i="5" s="1" a="1"/>
  <c r="BL14" i="5"/>
  <c r="BL16" i="5" s="1"/>
  <c r="BK14" i="5"/>
  <c r="BK16" i="5" s="1"/>
  <c r="BJ14" i="5"/>
  <c r="BJ16" i="5" s="1"/>
  <c r="BI14" i="5"/>
  <c r="BI16" i="5" s="1"/>
  <c r="BH14" i="5"/>
  <c r="BH16" i="5" s="1"/>
  <c r="BG14" i="5"/>
  <c r="BG16" i="5" s="1"/>
  <c r="BF14" i="5"/>
  <c r="BF16" i="5" s="1"/>
  <c r="BE14" i="5"/>
  <c r="BE16" i="5" s="1"/>
  <c r="BD14" i="5"/>
  <c r="BD16" i="5" s="1"/>
  <c r="BL8" i="5"/>
  <c r="BL11" i="5" s="1" a="1"/>
  <c r="BK8" i="5"/>
  <c r="BK11" i="5" s="1" a="1"/>
  <c r="BJ8" i="5"/>
  <c r="BJ11" i="5" s="1" a="1"/>
  <c r="BI8" i="5"/>
  <c r="BI11" i="5" s="1" a="1"/>
  <c r="BH8" i="5"/>
  <c r="BH11" i="5" s="1" a="1"/>
  <c r="BG8" i="5"/>
  <c r="BG11" i="5" s="1" a="1"/>
  <c r="BF8" i="5"/>
  <c r="BF11" i="5" s="1" a="1"/>
  <c r="BE8" i="5"/>
  <c r="BE11" i="5" s="1" a="1"/>
  <c r="GL17" i="5" l="1"/>
  <c r="K16" i="13"/>
  <c r="BM11" i="5" a="1"/>
  <c r="AL14" i="5"/>
  <c r="AL16" i="5" s="1"/>
  <c r="AM14" i="5"/>
  <c r="AM16" i="5" s="1"/>
  <c r="AN14" i="5"/>
  <c r="AN16" i="5" s="1"/>
  <c r="AO14" i="5"/>
  <c r="AO16" i="5" s="1"/>
  <c r="AP14" i="5"/>
  <c r="AP16" i="5" s="1"/>
  <c r="AQ14" i="5"/>
  <c r="AQ16" i="5" s="1"/>
  <c r="AR14" i="5"/>
  <c r="AR16" i="5" s="1"/>
  <c r="AS14" i="5"/>
  <c r="AS16" i="5" s="1"/>
  <c r="AT14" i="5"/>
  <c r="AT16" i="5" s="1"/>
  <c r="GI13" i="5"/>
  <c r="GJ13" i="5"/>
  <c r="GK13" i="5"/>
  <c r="AT19" i="5"/>
  <c r="AS19" i="5"/>
  <c r="AR19" i="5"/>
  <c r="AR20" i="5" s="1"/>
  <c r="AQ19" i="5"/>
  <c r="AQ20" i="5" s="1"/>
  <c r="AP19" i="5"/>
  <c r="AP20" i="5" s="1"/>
  <c r="AO19" i="5"/>
  <c r="AO20" i="5" s="1"/>
  <c r="AN19" i="5"/>
  <c r="AN20" i="5" s="1"/>
  <c r="AM19" i="5"/>
  <c r="AM20" i="5" s="1"/>
  <c r="AL19" i="5"/>
  <c r="CM20" i="5"/>
  <c r="CL20" i="5"/>
  <c r="AK14" i="5"/>
  <c r="AK16" i="5" s="1"/>
  <c r="AJ14" i="5"/>
  <c r="AJ16" i="5" s="1"/>
  <c r="AI14" i="5"/>
  <c r="AI16" i="5" s="1"/>
  <c r="AH14" i="5"/>
  <c r="AH16" i="5" s="1"/>
  <c r="AG14" i="5"/>
  <c r="AG16" i="5" s="1"/>
  <c r="AF14" i="5"/>
  <c r="AF16" i="5" s="1"/>
  <c r="AE14" i="5"/>
  <c r="AE16" i="5" s="1"/>
  <c r="AD14" i="5"/>
  <c r="AD16" i="5" s="1"/>
  <c r="AK19" i="5"/>
  <c r="AJ19" i="5"/>
  <c r="AI19" i="5"/>
  <c r="AI20" i="5" s="1"/>
  <c r="AH19" i="5"/>
  <c r="AH20" i="5" s="1"/>
  <c r="AG19" i="5"/>
  <c r="AG20" i="5" s="1"/>
  <c r="AF19" i="5"/>
  <c r="AF20" i="5" s="1"/>
  <c r="AE19" i="5"/>
  <c r="AE20" i="5" s="1"/>
  <c r="AD19" i="5"/>
  <c r="AD20" i="5" s="1"/>
  <c r="AC1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B9" i="5"/>
  <c r="E11" i="5" l="1" a="1"/>
  <c r="AJ20" i="5"/>
  <c r="AS20" i="5"/>
  <c r="AT20" i="5"/>
  <c r="AK20" i="5"/>
  <c r="U11" i="5" a="1"/>
  <c r="Z11" i="5" a="1"/>
  <c r="AB11" i="5" a="1"/>
  <c r="V11" i="5" a="1"/>
  <c r="AA11" i="5" a="1"/>
  <c r="X11" i="5" a="1"/>
  <c r="Q11" i="5" a="1"/>
  <c r="S11" i="5" a="1"/>
  <c r="P11" i="5" a="1"/>
  <c r="W11" i="5" a="1"/>
  <c r="Y11" i="5" a="1"/>
  <c r="L11" i="5" a="1"/>
  <c r="O11" i="5" a="1"/>
  <c r="N11" i="5" a="1"/>
  <c r="M11" i="5" a="1"/>
  <c r="R11" i="5" a="1"/>
  <c r="J11" i="5" a="1"/>
  <c r="I11" i="5" a="1"/>
  <c r="H11" i="5" a="1"/>
  <c r="G11" i="5" a="1"/>
  <c r="F11" i="5" a="1"/>
  <c r="D11" i="5" a="1"/>
  <c r="C11" i="5" a="1"/>
  <c r="EX20" i="5" l="1"/>
  <c r="EW20" i="5"/>
  <c r="EP20" i="5"/>
  <c r="EO20" i="5"/>
  <c r="EN20" i="5"/>
  <c r="DE20" i="5"/>
  <c r="DD20" i="5"/>
  <c r="CW20" i="5"/>
  <c r="CN20" i="5"/>
  <c r="CU20" i="5"/>
  <c r="CV20" i="5"/>
  <c r="GI8" i="5"/>
  <c r="AC14" i="5"/>
  <c r="AC16" i="5" s="1"/>
  <c r="DW14" i="5"/>
  <c r="DW16" i="5" s="1"/>
  <c r="DV14" i="5"/>
  <c r="DV16" i="5" s="1"/>
  <c r="DO14" i="5"/>
  <c r="DO16" i="5" s="1"/>
  <c r="DF14" i="5"/>
  <c r="DF16" i="5" s="1"/>
  <c r="CN21" i="5" l="1"/>
  <c r="GL16" i="5"/>
  <c r="FQ20" i="5"/>
  <c r="FZ20" i="5"/>
  <c r="K11" i="5" a="1"/>
  <c r="EY11" i="5" a="1"/>
  <c r="DO11" i="5" a="1"/>
  <c r="AL20" i="5"/>
  <c r="AC20" i="5"/>
  <c r="CE20" i="5"/>
  <c r="DX20" i="5"/>
  <c r="GL8" i="5"/>
  <c r="T11" i="5" a="1"/>
  <c r="DF11" i="5" a="1"/>
  <c r="DW11" i="5" a="1"/>
  <c r="DV11" i="5" a="1"/>
  <c r="GL14" i="5"/>
  <c r="N24" i="13" s="1"/>
  <c r="GL19" i="5"/>
  <c r="N8" i="13" s="1"/>
  <c r="B11" i="5" a="1"/>
  <c r="GL9" i="5"/>
  <c r="GQ14" i="5" l="1"/>
  <c r="GS14" i="5"/>
  <c r="GN14" i="5"/>
  <c r="G41" i="13" s="1"/>
  <c r="GP14" i="5"/>
  <c r="GO14" i="5"/>
  <c r="GL20" i="5"/>
  <c r="GQ19" i="5" s="1"/>
  <c r="GL6" i="5"/>
  <c r="N6" i="13"/>
  <c r="GM8" i="5"/>
  <c r="R38" i="13" l="1"/>
  <c r="R37" i="13"/>
  <c r="R36" i="13"/>
  <c r="GR8" i="5"/>
  <c r="GR19" i="5"/>
  <c r="M3" i="22"/>
  <c r="G42" i="13"/>
  <c r="M2" i="22"/>
  <c r="M5" i="22"/>
  <c r="G44" i="13"/>
  <c r="M4" i="22"/>
  <c r="G43" i="13"/>
  <c r="GO19" i="5"/>
  <c r="GP19" i="5"/>
  <c r="GN19" i="5"/>
  <c r="GS19" i="5"/>
  <c r="GT14" i="5"/>
  <c r="N9" i="13"/>
  <c r="L26" i="13" s="1"/>
  <c r="GR21" i="5" l="1"/>
  <c r="G27" i="13" s="1"/>
  <c r="C27" i="13" s="1"/>
  <c r="N26" i="13"/>
  <c r="N27" i="13" s="1"/>
  <c r="GT19" i="5"/>
  <c r="N11" i="13" s="1"/>
  <c r="T7" i="13" l="1"/>
  <c r="T12" i="13"/>
  <c r="T13" i="13"/>
  <c r="T8" i="13"/>
  <c r="T11" i="13"/>
  <c r="T9" i="13"/>
  <c r="T10" i="13"/>
  <c r="T14" i="13"/>
  <c r="T15" i="13"/>
  <c r="N28" i="13" l="1"/>
  <c r="T16" i="13"/>
  <c r="N29" i="13" l="1"/>
  <c r="N30" i="13" s="1"/>
  <c r="S12" i="13"/>
  <c r="S8" i="13"/>
  <c r="S10" i="13"/>
  <c r="S9" i="13"/>
  <c r="S13" i="13"/>
  <c r="S15" i="13"/>
  <c r="S14" i="13"/>
  <c r="S11" i="13"/>
  <c r="N33" i="13" l="1"/>
  <c r="G29" i="13" l="1"/>
  <c r="N32" i="13"/>
  <c r="N31" i="13"/>
  <c r="N34" i="13"/>
  <c r="N35" i="13" l="1"/>
  <c r="N39" i="13" s="1"/>
  <c r="G33" i="13"/>
  <c r="B23" i="22"/>
  <c r="N15" i="13" s="1"/>
  <c r="N40" i="13" l="1"/>
  <c r="N41" i="13"/>
  <c r="G16" i="13" l="1"/>
  <c r="G15" i="13"/>
  <c r="BC28" i="5" l="1"/>
  <c r="BB28" i="5"/>
  <c r="BA28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N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B28" i="5"/>
  <c r="FP11" i="5"/>
  <c r="FO11" i="5"/>
  <c r="FN11" i="5"/>
  <c r="FM11" i="5"/>
  <c r="FL11" i="5"/>
  <c r="FK11" i="5"/>
  <c r="FJ11" i="5"/>
  <c r="FI11" i="5"/>
  <c r="FH11" i="5"/>
  <c r="FG11" i="5"/>
  <c r="FF11" i="5"/>
  <c r="FE11" i="5"/>
  <c r="FD11" i="5"/>
  <c r="FC11" i="5"/>
  <c r="FB11" i="5"/>
  <c r="FA11" i="5"/>
  <c r="EZ11" i="5"/>
  <c r="EY11" i="5"/>
  <c r="DW11" i="5"/>
  <c r="DV11" i="5"/>
  <c r="DO11" i="5"/>
  <c r="DN11" i="5"/>
  <c r="DM11" i="5"/>
  <c r="DL11" i="5"/>
  <c r="DK11" i="5"/>
  <c r="DJ11" i="5"/>
  <c r="DI11" i="5"/>
  <c r="DH11" i="5"/>
  <c r="DG11" i="5"/>
  <c r="DF11" i="5"/>
  <c r="CM11" i="5"/>
  <c r="CL11" i="5"/>
  <c r="CK11" i="5"/>
  <c r="CJ11" i="5"/>
  <c r="CI11" i="5"/>
  <c r="CH11" i="5"/>
  <c r="CG11" i="5"/>
  <c r="CF11" i="5"/>
  <c r="CE11" i="5"/>
  <c r="CD11" i="5"/>
  <c r="CC11" i="5"/>
  <c r="CB11" i="5"/>
  <c r="CA11" i="5"/>
  <c r="BZ11" i="5"/>
  <c r="BY11" i="5"/>
  <c r="BX11" i="5"/>
  <c r="BW11" i="5"/>
  <c r="BV11" i="5"/>
  <c r="BU11" i="5"/>
  <c r="BT11" i="5"/>
  <c r="BS11" i="5"/>
  <c r="BR11" i="5"/>
  <c r="BQ11" i="5"/>
  <c r="BP11" i="5"/>
  <c r="BO11" i="5"/>
  <c r="BN11" i="5"/>
  <c r="BM11" i="5"/>
  <c r="BL11" i="5"/>
  <c r="BK11" i="5"/>
  <c r="BJ11" i="5"/>
  <c r="BI11" i="5"/>
  <c r="BH11" i="5"/>
  <c r="BG11" i="5"/>
  <c r="BF11" i="5"/>
  <c r="BE11" i="5"/>
  <c r="BD11" i="5"/>
  <c r="AB11" i="5"/>
  <c r="AA11" i="5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B11" i="5"/>
  <c r="GL11" i="5" l="1"/>
  <c r="GL28" i="5"/>
  <c r="GS8" i="5" l="1"/>
  <c r="GS21" i="5" s="1"/>
  <c r="G32" i="13" s="1"/>
  <c r="G30" i="13" s="1"/>
  <c r="GO8" i="5"/>
  <c r="GO21" i="5" s="1"/>
  <c r="G19" i="13" s="1"/>
  <c r="GQ8" i="5"/>
  <c r="GQ21" i="5" s="1"/>
  <c r="G26" i="13" s="1"/>
  <c r="C26" i="13" s="1"/>
  <c r="GP8" i="5"/>
  <c r="GP21" i="5" s="1"/>
  <c r="G23" i="13" s="1"/>
  <c r="GN8" i="5"/>
  <c r="G14" i="13" l="1"/>
  <c r="GT8" i="5"/>
  <c r="GN21" i="5"/>
  <c r="N13" i="13" l="1"/>
  <c r="G25" i="13" s="1"/>
  <c r="C25" i="13" s="1"/>
  <c r="GT21" i="5"/>
  <c r="N10" i="13"/>
  <c r="N12" i="13" s="1"/>
  <c r="GU9" i="5"/>
  <c r="N14" i="13" l="1"/>
  <c r="S7" i="13" l="1"/>
  <c r="S16" i="13" s="1"/>
  <c r="N16" i="13" s="1"/>
  <c r="G24" i="13" s="1"/>
  <c r="G28" i="13"/>
  <c r="G21" i="13" l="1"/>
  <c r="N17" i="13"/>
  <c r="G35" i="13" l="1"/>
  <c r="N18" i="13"/>
  <c r="G17" i="13"/>
  <c r="N19" i="13"/>
  <c r="G18" i="13"/>
  <c r="N20" i="13"/>
  <c r="G37" i="13" l="1"/>
  <c r="N22" i="13"/>
  <c r="G39" i="13" s="1"/>
  <c r="N21" i="13"/>
  <c r="G38" i="13" s="1"/>
  <c r="G12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Jairo M. Mongui Aldana</author>
  </authors>
  <commentList>
    <comment ref="B11" authorId="0" shapeId="0" xr:uid="{9BC5F68E-2ECD-40DE-9C85-6CDB50FBB9E0}">
      <text>
        <r>
          <rPr>
            <b/>
            <sz val="9"/>
            <color indexed="81"/>
            <rFont val="Tahoma"/>
            <family val="2"/>
          </rPr>
          <t>% sobre el tiempo total de ejecucion</t>
        </r>
      </text>
    </comment>
    <comment ref="B12" authorId="0" shapeId="0" xr:uid="{73467A8C-E198-43C9-9098-D240C78D8066}">
      <text>
        <r>
          <rPr>
            <b/>
            <sz val="9"/>
            <color indexed="81"/>
            <rFont val="Tahoma"/>
            <family val="2"/>
          </rPr>
          <t>% sobre el tiempo total de ejecucion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 shapeId="0" xr:uid="{57AB75B5-D4ED-4D22-84CB-650689820C64}">
      <text>
        <r>
          <rPr>
            <b/>
            <sz val="9"/>
            <color indexed="81"/>
            <rFont val="Tahoma"/>
            <family val="2"/>
          </rPr>
          <t>% sobre el tiempo total de ejecucion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5" authorId="0" shapeId="0" xr:uid="{87A7922A-E2CA-4F29-A534-4A0ED32E620C}">
      <text>
        <r>
          <rPr>
            <b/>
            <sz val="9"/>
            <color indexed="81"/>
            <rFont val="Tahoma"/>
            <family val="2"/>
          </rPr>
          <t>% sobre el tiempo total de ejecucion</t>
        </r>
      </text>
    </comment>
    <comment ref="B18" authorId="0" shapeId="0" xr:uid="{C9CA5968-D258-43C5-A973-497D185B6671}">
      <text>
        <r>
          <rPr>
            <b/>
            <sz val="9"/>
            <color indexed="81"/>
            <rFont val="Tahoma"/>
            <family val="2"/>
          </rPr>
          <t>tiempo de medidas en horas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9" authorId="0" shapeId="0" xr:uid="{B15DEADC-5527-429F-B4D2-8A41EB22D870}">
      <text>
        <r>
          <rPr>
            <b/>
            <sz val="9"/>
            <color indexed="81"/>
            <rFont val="Tahoma"/>
            <family val="2"/>
          </rPr>
          <t>Tiempo de medida en horas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0" authorId="0" shapeId="0" xr:uid="{98B3E2EC-4A81-4E5B-8C37-A9A257C55AAB}">
      <text>
        <r>
          <rPr>
            <b/>
            <sz val="9"/>
            <color indexed="81"/>
            <rFont val="Tahoma"/>
            <family val="2"/>
          </rPr>
          <t>Tiempo de medida en horas</t>
        </r>
      </text>
    </comment>
    <comment ref="B21" authorId="0" shapeId="0" xr:uid="{0B306B73-AF61-4548-8528-1DC23B350D0D}">
      <text>
        <r>
          <rPr>
            <b/>
            <sz val="9"/>
            <color indexed="81"/>
            <rFont val="Tahoma"/>
            <family val="2"/>
          </rPr>
          <t>Tiempo de medida en horas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2" authorId="0" shapeId="0" xr:uid="{A73FC4F6-8DE9-4ED5-A738-4C54321A73D3}">
      <text>
        <r>
          <rPr>
            <b/>
            <sz val="9"/>
            <color indexed="81"/>
            <rFont val="Tahoma"/>
            <family val="2"/>
          </rPr>
          <t>Tiempo de medida en horas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Viviana Lopez Olarte</author>
  </authors>
  <commentList>
    <comment ref="GL6" authorId="0" shapeId="0" xr:uid="{69F17A71-4290-4A10-A0B0-BC0C38351AFC}">
      <text>
        <r>
          <rPr>
            <b/>
            <sz val="9"/>
            <color indexed="81"/>
            <rFont val="Tahoma"/>
            <family val="2"/>
          </rPr>
          <t>Viviana Lopez Olarte:</t>
        </r>
        <r>
          <rPr>
            <sz val="9"/>
            <color indexed="81"/>
            <rFont val="Tahoma"/>
            <family val="2"/>
          </rPr>
          <t xml:space="preserve">
Cantidad Tota de Casos</t>
        </r>
      </text>
    </comment>
    <comment ref="A8" authorId="0" shapeId="0" xr:uid="{D973966C-D143-45DF-9E24-D45BE10A2910}">
      <text>
        <r>
          <rPr>
            <b/>
            <sz val="9"/>
            <color indexed="81"/>
            <rFont val="Tahoma"/>
            <family val="2"/>
          </rPr>
          <t>Viviana Lopez Olarte:</t>
        </r>
        <r>
          <rPr>
            <sz val="9"/>
            <color indexed="81"/>
            <rFont val="Tahoma"/>
            <family val="2"/>
          </rPr>
          <t xml:space="preserve">
CANTIDAD DE CASOS TOTAL SEGÚN TIPO
QUE NO SON AUTOMATIZADOS
</t>
        </r>
      </text>
    </comment>
    <comment ref="A9" authorId="0" shapeId="0" xr:uid="{6F386392-E1A2-44A3-85EE-1785FFC6C308}">
      <text>
        <r>
          <rPr>
            <b/>
            <sz val="9"/>
            <color indexed="81"/>
            <rFont val="Tahoma"/>
            <family val="2"/>
          </rPr>
          <t>Viviana Lopez Olarte:</t>
        </r>
        <r>
          <rPr>
            <sz val="9"/>
            <color indexed="81"/>
            <rFont val="Tahoma"/>
            <family val="2"/>
          </rPr>
          <t xml:space="preserve">
Casos de Excepción que no son automatizados
</t>
        </r>
      </text>
    </comment>
    <comment ref="A11" authorId="0" shapeId="0" xr:uid="{2CC32977-508B-45D7-8073-8B9990401854}">
      <text>
        <r>
          <rPr>
            <b/>
            <sz val="9"/>
            <color indexed="81"/>
            <rFont val="Tahoma"/>
            <family val="2"/>
          </rPr>
          <t>Viviana Lopez Olarte:</t>
        </r>
        <r>
          <rPr>
            <sz val="9"/>
            <color indexed="81"/>
            <rFont val="Tahoma"/>
            <family val="2"/>
          </rPr>
          <t xml:space="preserve">
CANTIDAD DE CASOS</t>
        </r>
        <r>
          <rPr>
            <sz val="11"/>
            <color indexed="81"/>
            <rFont val="Tahoma"/>
            <family val="2"/>
          </rPr>
          <t xml:space="preserve"> X</t>
        </r>
        <r>
          <rPr>
            <sz val="9"/>
            <color indexed="81"/>
            <rFont val="Tahoma"/>
            <family val="2"/>
          </rPr>
          <t xml:space="preserve"> TIEMPO DE CADA TIPO DE CASO
</t>
        </r>
      </text>
    </comment>
    <comment ref="GL11" authorId="0" shapeId="0" xr:uid="{8082B1D5-EE85-4C90-B7E4-36DA07822AF0}">
      <text>
        <r>
          <rPr>
            <b/>
            <sz val="9"/>
            <color indexed="81"/>
            <rFont val="Tahoma"/>
            <family val="2"/>
          </rPr>
          <t>Viviana Lopez Olarte:</t>
        </r>
        <r>
          <rPr>
            <sz val="9"/>
            <color indexed="81"/>
            <rFont val="Tahoma"/>
            <family val="2"/>
          </rPr>
          <t xml:space="preserve">
Ejecución horas funcionales</t>
        </r>
      </text>
    </comment>
    <comment ref="A14" authorId="0" shapeId="0" xr:uid="{3C88A3FE-F70B-4AF3-825C-243B14819EE4}">
      <text>
        <r>
          <rPr>
            <b/>
            <sz val="9"/>
            <color indexed="81"/>
            <rFont val="Tahoma"/>
            <family val="2"/>
          </rPr>
          <t>Viviana Lopez Olarte:</t>
        </r>
        <r>
          <rPr>
            <sz val="9"/>
            <color indexed="81"/>
            <rFont val="Tahoma"/>
            <family val="2"/>
          </rPr>
          <t xml:space="preserve">
Cuenta los casos que SI son automatizados y son el tipo de caso EI, EQ SMOKE</t>
        </r>
      </text>
    </comment>
    <comment ref="A16" authorId="0" shapeId="0" xr:uid="{9836CB10-5378-4AC4-8CCF-43E54FDA4107}">
      <text>
        <r>
          <rPr>
            <b/>
            <sz val="9"/>
            <color indexed="81"/>
            <rFont val="Tahoma"/>
            <family val="2"/>
          </rPr>
          <t>Viviana Lopez Olarte:</t>
        </r>
        <r>
          <rPr>
            <sz val="9"/>
            <color indexed="81"/>
            <rFont val="Tahoma"/>
            <family val="2"/>
          </rPr>
          <t xml:space="preserve">
CANTIDAD DE CASOS</t>
        </r>
        <r>
          <rPr>
            <sz val="11"/>
            <color indexed="81"/>
            <rFont val="Tahoma"/>
            <family val="2"/>
          </rPr>
          <t xml:space="preserve"> X</t>
        </r>
        <r>
          <rPr>
            <sz val="9"/>
            <color indexed="81"/>
            <rFont val="Tahoma"/>
            <family val="2"/>
          </rPr>
          <t xml:space="preserve"> TIEMPO DE CADA TIPO DE CASO
</t>
        </r>
      </text>
    </comment>
    <comment ref="GL16" authorId="0" shapeId="0" xr:uid="{BC392F5F-8424-4B0E-8D24-3A12E5185382}">
      <text>
        <r>
          <rPr>
            <b/>
            <sz val="9"/>
            <color indexed="81"/>
            <rFont val="Tahoma"/>
            <family val="2"/>
          </rPr>
          <t>Viviana Lopez Olarte:</t>
        </r>
        <r>
          <rPr>
            <sz val="9"/>
            <color indexed="81"/>
            <rFont val="Tahoma"/>
            <family val="2"/>
          </rPr>
          <t xml:space="preserve">
Ejecución horas Automatizadas</t>
        </r>
      </text>
    </comment>
    <comment ref="A19" authorId="0" shapeId="0" xr:uid="{2BFA3DCE-8EAB-4CE3-981B-DE80A9AECA96}">
      <text>
        <r>
          <rPr>
            <b/>
            <sz val="9"/>
            <color indexed="81"/>
            <rFont val="Tahoma"/>
            <family val="2"/>
          </rPr>
          <t>Viviana Lopez Olarte:</t>
        </r>
        <r>
          <rPr>
            <sz val="9"/>
            <color indexed="81"/>
            <rFont val="Tahoma"/>
            <family val="2"/>
          </rPr>
          <t xml:space="preserve">
Cuenta los casos que sean tecnicos, dependiendo del tipo de caso su complejidad y que no sean automatizados </t>
        </r>
      </text>
    </comment>
    <comment ref="A20" authorId="0" shapeId="0" xr:uid="{AC7AFDB1-7B76-4A4D-BE7E-C2C495180781}">
      <text>
        <r>
          <rPr>
            <b/>
            <sz val="9"/>
            <color indexed="81"/>
            <rFont val="Tahoma"/>
            <family val="2"/>
          </rPr>
          <t xml:space="preserve">Viviana Lopez Olarte
</t>
        </r>
        <r>
          <rPr>
            <sz val="9"/>
            <color indexed="81"/>
            <rFont val="Tahoma"/>
            <family val="2"/>
          </rPr>
          <t xml:space="preserve">Cantidad de casos por el tiempo establecido dependiendo su complejidad
</t>
        </r>
      </text>
    </comment>
    <comment ref="GL20" authorId="0" shapeId="0" xr:uid="{46082481-15DD-4D9B-993C-C26407CE3035}">
      <text>
        <r>
          <rPr>
            <b/>
            <sz val="9"/>
            <color indexed="81"/>
            <rFont val="Tahoma"/>
            <family val="2"/>
          </rPr>
          <t>Viviana Lopez Olarte:</t>
        </r>
        <r>
          <rPr>
            <sz val="9"/>
            <color indexed="81"/>
            <rFont val="Tahoma"/>
            <family val="2"/>
          </rPr>
          <t xml:space="preserve">
Ejecución horas tecnicas</t>
        </r>
      </text>
    </comment>
    <comment ref="A27" authorId="0" shapeId="0" xr:uid="{BF18B65A-6825-4741-9918-05D74CCABA66}">
      <text>
        <r>
          <rPr>
            <b/>
            <sz val="9"/>
            <color indexed="81"/>
            <rFont val="Tahoma"/>
            <family val="2"/>
          </rPr>
          <t>Viviana Lopez Olarte:</t>
        </r>
        <r>
          <rPr>
            <sz val="9"/>
            <color indexed="81"/>
            <rFont val="Tahoma"/>
            <family val="2"/>
          </rPr>
          <t xml:space="preserve">
CANTIDAD DE CASOS TOTAL SEGÚN TIPO
QUE NO SON AUTOMATIZADOS
</t>
        </r>
      </text>
    </comment>
    <comment ref="A28" authorId="0" shapeId="0" xr:uid="{F2E3E3CD-8695-413C-95B1-57012183F03D}">
      <text>
        <r>
          <rPr>
            <b/>
            <sz val="9"/>
            <color indexed="81"/>
            <rFont val="Tahoma"/>
            <family val="2"/>
          </rPr>
          <t>Viviana Lopez Olarte:</t>
        </r>
        <r>
          <rPr>
            <sz val="9"/>
            <color indexed="81"/>
            <rFont val="Tahoma"/>
            <family val="2"/>
          </rPr>
          <t xml:space="preserve">
CANTIDAD DE CASOS</t>
        </r>
        <r>
          <rPr>
            <sz val="11"/>
            <color indexed="81"/>
            <rFont val="Tahoma"/>
            <family val="2"/>
          </rPr>
          <t xml:space="preserve"> X</t>
        </r>
        <r>
          <rPr>
            <sz val="9"/>
            <color indexed="81"/>
            <rFont val="Tahoma"/>
            <family val="2"/>
          </rPr>
          <t xml:space="preserve"> TIEMPO DE CADA TIPO DE CASO
</t>
        </r>
      </text>
    </comment>
    <comment ref="GL28" authorId="0" shapeId="0" xr:uid="{C3AD3308-F67F-487E-8EF1-401C545D10EA}">
      <text>
        <r>
          <rPr>
            <b/>
            <sz val="9"/>
            <color indexed="81"/>
            <rFont val="Tahoma"/>
            <family val="2"/>
          </rPr>
          <t>Viviana Lopez Olarte:</t>
        </r>
        <r>
          <rPr>
            <sz val="9"/>
            <color indexed="81"/>
            <rFont val="Tahoma"/>
            <family val="2"/>
          </rPr>
          <t xml:space="preserve">
Ejecución horas funcionales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<sst xmlns="http://schemas.openxmlformats.org/spreadsheetml/2006/main" count="3965" uniqueCount="1233">
  <si>
    <t>HISTORIAL DE VERSIONES Y REVISIONES</t>
  </si>
  <si>
    <t>Codigo: FOR-QA PLANTILLA DE ESTIMACIÓN</t>
  </si>
  <si>
    <t>Versión</t>
  </si>
  <si>
    <t>Fecha</t>
  </si>
  <si>
    <t>Acción</t>
  </si>
  <si>
    <t>Estado</t>
  </si>
  <si>
    <t>Descripción</t>
  </si>
  <si>
    <t>Responsable</t>
  </si>
  <si>
    <t>1.0</t>
  </si>
  <si>
    <t>Creaciòn</t>
  </si>
  <si>
    <t>Aprobado</t>
  </si>
  <si>
    <t>Creaciòn de la plantilla</t>
  </si>
  <si>
    <t>vivianalopez@cbit-online.com</t>
  </si>
  <si>
    <t>2.0</t>
  </si>
  <si>
    <t>Modificación</t>
  </si>
  <si>
    <t>Se agrega campo del alcance y de fecha en la estimación</t>
  </si>
  <si>
    <t>3.0</t>
  </si>
  <si>
    <t xml:space="preserve">Se modifica la formula del conteo de casos técnicos </t>
  </si>
  <si>
    <t>4.0</t>
  </si>
  <si>
    <r>
      <t xml:space="preserve">Se realizan modificaciones en la hoja </t>
    </r>
    <r>
      <rPr>
        <b/>
        <sz val="10"/>
        <color theme="1"/>
        <rFont val="Arial"/>
        <family val="2"/>
      </rPr>
      <t>MATRIZ TRAZA</t>
    </r>
    <r>
      <rPr>
        <sz val="10"/>
        <color theme="1"/>
        <rFont val="Arial"/>
        <family val="2"/>
      </rPr>
      <t xml:space="preserve"> donde se agregan las columas (Feature y Scenario)  para manejar lenguaje Gherkin y se agregan los tipos de pruebas para ETLs. También se realizan modificaciones en la hoja </t>
    </r>
    <r>
      <rPr>
        <b/>
        <sz val="10"/>
        <color theme="1"/>
        <rFont val="Arial"/>
        <family val="2"/>
      </rPr>
      <t xml:space="preserve">GUIA </t>
    </r>
    <r>
      <rPr>
        <sz val="10"/>
        <color theme="1"/>
        <rFont val="Arial"/>
        <family val="2"/>
      </rPr>
      <t>sobre pasos para llenar la matriz traza.</t>
    </r>
  </si>
  <si>
    <t>5.0</t>
  </si>
  <si>
    <t>Se realiza el ajuste a la formula para el calculo del total de horas agregando la suma del 10% al valor total.</t>
  </si>
  <si>
    <t>6.0</t>
  </si>
  <si>
    <t>Se modifica la formula del total de dias, y se agregan las opciones para casos de bases de datos o servicios automatizados</t>
  </si>
  <si>
    <t>7.0</t>
  </si>
  <si>
    <t>Se agrega campo de riegos en la hoja de estimación</t>
  </si>
  <si>
    <t>8.0</t>
  </si>
  <si>
    <t>Se agregan los tipos de prueba de seguridad y se suma al valor de horas total el porcentaje de soporte 10%</t>
  </si>
  <si>
    <t>Se agregan los tipos de prueba de seguridad oswap para WEB y APP</t>
  </si>
  <si>
    <t>Se agrega campo para suma de las horas de gestión</t>
  </si>
  <si>
    <t>Se agrega opción Otros, en hoja "MATRIZ TRAZA" para que realice el conteo unicamente de los casos  y se agrega espacio a los campos de alcance y riesgos en Hoja "ESTIMACIÓN"</t>
  </si>
  <si>
    <t>12.0.0</t>
  </si>
  <si>
    <t>Se Elimina detalle de los items a trabajar en cada fase, se elimina la columna Feature y se ajustan valores de Formulas, se elimina el ciclo 3</t>
  </si>
  <si>
    <t>claudiacopete@cbit-online.com</t>
  </si>
  <si>
    <t>13.0.0</t>
  </si>
  <si>
    <t>Se ajsutan valores de formulas</t>
  </si>
  <si>
    <t>14.0.0</t>
  </si>
  <si>
    <t xml:space="preserve">Se ajsutan valores de agrupación a la complejidad y se asjuta formula de cantidad de dias </t>
  </si>
  <si>
    <t>15.0.0</t>
  </si>
  <si>
    <t>Se adiciona % para pruebas Automatizadas y se adiciona lista de Entregables</t>
  </si>
  <si>
    <t>Descripción de valores para el campo Acción</t>
  </si>
  <si>
    <r>
      <t xml:space="preserve">C – </t>
    </r>
    <r>
      <rPr>
        <sz val="10"/>
        <color rgb="FF000000"/>
        <rFont val="Arial"/>
        <family val="2"/>
      </rPr>
      <t>Creación de documento</t>
    </r>
  </si>
  <si>
    <r>
      <t xml:space="preserve">D – </t>
    </r>
    <r>
      <rPr>
        <sz val="10"/>
        <rFont val="Arial"/>
        <family val="2"/>
      </rPr>
      <t>Distribución  (Entrega) del documento</t>
    </r>
  </si>
  <si>
    <r>
      <t xml:space="preserve">M – </t>
    </r>
    <r>
      <rPr>
        <sz val="10"/>
        <color rgb="FF000000"/>
        <rFont val="Arial"/>
        <family val="2"/>
      </rPr>
      <t>Modificaciones del Documento</t>
    </r>
  </si>
  <si>
    <r>
      <t xml:space="preserve">G – </t>
    </r>
    <r>
      <rPr>
        <sz val="10"/>
        <rFont val="Arial"/>
        <family val="2"/>
      </rPr>
      <t>Generación de nueva versión/ subversión</t>
    </r>
  </si>
  <si>
    <r>
      <t xml:space="preserve">A – </t>
    </r>
    <r>
      <rPr>
        <sz val="10"/>
        <rFont val="Arial"/>
        <family val="2"/>
      </rPr>
      <t>Aprobación del documento</t>
    </r>
  </si>
  <si>
    <r>
      <t xml:space="preserve">R </t>
    </r>
    <r>
      <rPr>
        <sz val="10"/>
        <rFont val="Arial"/>
        <family val="2"/>
      </rPr>
      <t>– Revisión del documento.</t>
    </r>
  </si>
  <si>
    <t>Descripción de valores para el campo Estado</t>
  </si>
  <si>
    <t>Borrador – Documento en proceso de construcción y modificación.</t>
  </si>
  <si>
    <t xml:space="preserve">Aprobado – Documento que ha sido aceptado por el responsable de la aprobación ya sea de parte de Periferia IT y/o cliente.  </t>
  </si>
  <si>
    <t xml:space="preserve"> </t>
  </si>
  <si>
    <t>Proyecto:</t>
  </si>
  <si>
    <t>Analista:</t>
  </si>
  <si>
    <t>Fecha:</t>
  </si>
  <si>
    <t>% Rom</t>
  </si>
  <si>
    <t>si</t>
  </si>
  <si>
    <t>Pruebas Estáticas / Dinámicas</t>
  </si>
  <si>
    <t>Casos Funcionales</t>
  </si>
  <si>
    <t>Entregables</t>
  </si>
  <si>
    <t>Aplica</t>
  </si>
  <si>
    <t>Incertidumbre</t>
  </si>
  <si>
    <t>Casos Funcionales Reutilizados</t>
  </si>
  <si>
    <t>1. Historias de Usuario/Requerimientos  aprobados</t>
  </si>
  <si>
    <t>NO</t>
  </si>
  <si>
    <t>N/A</t>
  </si>
  <si>
    <t>ID</t>
  </si>
  <si>
    <t>Actividad</t>
  </si>
  <si>
    <t>Tiempo
 Estimado</t>
  </si>
  <si>
    <t>Casos Técnicos</t>
  </si>
  <si>
    <t>2. Manuales de Usuario</t>
  </si>
  <si>
    <t xml:space="preserve">Total Casos </t>
  </si>
  <si>
    <t>3. Listado de Servicios</t>
  </si>
  <si>
    <t>Horas Funcionales</t>
  </si>
  <si>
    <t>4. Manuales Técnicos </t>
  </si>
  <si>
    <t>Horas Técnicas</t>
  </si>
  <si>
    <t>5. Diagramas de flujo</t>
  </si>
  <si>
    <t>PLANEACIÓN</t>
  </si>
  <si>
    <t>Total Ejecución Prueba UAT</t>
  </si>
  <si>
    <t>6. Diagramas Técnicos</t>
  </si>
  <si>
    <t>Total Ejecución Prueba BUAT</t>
  </si>
  <si>
    <t>7. Modelo Base de Datos </t>
  </si>
  <si>
    <t>% Planeación</t>
  </si>
  <si>
    <t>Horas Gestión</t>
  </si>
  <si>
    <t>8. Cronograma del proyecto </t>
  </si>
  <si>
    <t>Ceremonia Refinamiento</t>
  </si>
  <si>
    <t>Ceremonias</t>
  </si>
  <si>
    <t>9. Riesgos de Desarrollo</t>
  </si>
  <si>
    <t>Ceremonia Plannig</t>
  </si>
  <si>
    <t>toal entregables</t>
  </si>
  <si>
    <t>1,4</t>
  </si>
  <si>
    <t>Capacitación/Entendimiento Funcional</t>
  </si>
  <si>
    <t>Total Horas Funcional  - Técnico</t>
  </si>
  <si>
    <t>Asignación por analista</t>
  </si>
  <si>
    <t>ASISTENCIA DAILY</t>
  </si>
  <si>
    <t>1,5</t>
  </si>
  <si>
    <t xml:space="preserve">Revisión con la líder QA. </t>
  </si>
  <si>
    <t>Horas por analista Funcional 100%</t>
  </si>
  <si>
    <t>Cantidad Analistas Funcionales, Técnico</t>
  </si>
  <si>
    <t>ANALISTA PRINCIPAL</t>
  </si>
  <si>
    <t>DISEÑO</t>
  </si>
  <si>
    <t>Horas por analista  Funcional 50%</t>
  </si>
  <si>
    <t>Cantidad Analistas Automatizadores</t>
  </si>
  <si>
    <t>EQUIPO QA</t>
  </si>
  <si>
    <t>Cantidad Días</t>
  </si>
  <si>
    <t>Cantidad Analistas tecnicos</t>
  </si>
  <si>
    <t>EJECUCIÓN</t>
  </si>
  <si>
    <t>Analista de calidad</t>
  </si>
  <si>
    <t>Cantidad Semanas</t>
  </si>
  <si>
    <t>1.4</t>
  </si>
  <si>
    <t>Estimación de Tiempos</t>
  </si>
  <si>
    <t>Cantidad Mes</t>
  </si>
  <si>
    <t>Ejecución Ciclo 1</t>
  </si>
  <si>
    <t>Sprint</t>
  </si>
  <si>
    <t>ROM-Nivel de Incertidumbre</t>
  </si>
  <si>
    <t>Casos Automatizados</t>
  </si>
  <si>
    <t>Casos Refactorización</t>
  </si>
  <si>
    <t>Capacitación/Entendimiento / POC Automatización</t>
  </si>
  <si>
    <t xml:space="preserve">Horas Automatización: </t>
  </si>
  <si>
    <t>%</t>
  </si>
  <si>
    <t>horas Gestión</t>
  </si>
  <si>
    <t>Número estimado de licencias TestPlan</t>
  </si>
  <si>
    <t>horas Daily</t>
  </si>
  <si>
    <t>Daily</t>
  </si>
  <si>
    <t>CIERRE</t>
  </si>
  <si>
    <t>Total Horas Automatización</t>
  </si>
  <si>
    <t>NO INCLUIR EN ESTIMACION</t>
  </si>
  <si>
    <t>Horas Automatizador 100%</t>
  </si>
  <si>
    <t>Ciclo 2</t>
  </si>
  <si>
    <t>SI</t>
  </si>
  <si>
    <t>Cierre</t>
  </si>
  <si>
    <t>Horas Automatizador 50%</t>
  </si>
  <si>
    <t>Ciclo 3</t>
  </si>
  <si>
    <t>Ceremonias (REVIEW-RETROSPECTIVA)</t>
  </si>
  <si>
    <t>TOTAL HORAS PROYECTO</t>
  </si>
  <si>
    <t>Escenarios</t>
  </si>
  <si>
    <t>Casos Positivos</t>
  </si>
  <si>
    <t>Casos Consultoría</t>
  </si>
  <si>
    <t xml:space="preserve">Casos Negativos </t>
  </si>
  <si>
    <t>Total Horas Consultoría</t>
  </si>
  <si>
    <t>Casos Excepción</t>
  </si>
  <si>
    <t>PREPARACION AMBIENTE</t>
  </si>
  <si>
    <t>DISEÑO(DI-CD,METODOLOGIA)</t>
  </si>
  <si>
    <t>DISEÑO DE MANUALES</t>
  </si>
  <si>
    <t>ENTREGA</t>
  </si>
  <si>
    <r>
      <rPr>
        <b/>
        <sz val="10"/>
        <color rgb="FF000000"/>
        <rFont val="Arial"/>
        <family val="2"/>
      </rPr>
      <t xml:space="preserve">Alcance de las pruebas:
</t>
    </r>
    <r>
      <rPr>
        <sz val="10"/>
        <color rgb="FF000000"/>
        <rFont val="Arial"/>
        <family val="2"/>
      </rPr>
      <t xml:space="preserve">1. 
3.  
4. 
5.
6. 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</si>
  <si>
    <t xml:space="preserve">No entra en el alcance:
</t>
  </si>
  <si>
    <t>Funcionalidades no descritas en este alcance</t>
  </si>
  <si>
    <t xml:space="preserve">Pruebas de seguridad </t>
  </si>
  <si>
    <t>Pruebas de performance</t>
  </si>
  <si>
    <t>Pruebas responsive</t>
  </si>
  <si>
    <t>Pruebas de carga y estrés</t>
  </si>
  <si>
    <t>Pruebas funcionales adicionales</t>
  </si>
  <si>
    <r>
      <rPr>
        <b/>
        <sz val="10"/>
        <color rgb="FF000000"/>
        <rFont val="Arial"/>
        <family val="2"/>
      </rPr>
      <t>Supuestos / Riesgos / Restricciones:</t>
    </r>
    <r>
      <rPr>
        <sz val="10"/>
        <color rgb="FF000000"/>
        <rFont val="Arial"/>
        <family val="2"/>
      </rPr>
      <t xml:space="preserve"> 
1. No avance y/o ejecución de las pruebas por falta de data
2. No avance y/o ejecución de las pruebas por Indisponibilidad del ambiente
3. permisos de usuario devops para creacion de repositorio, agente pipeline y release</t>
    </r>
  </si>
  <si>
    <t>1. No avance y/o ejecución de las pruebas por Indisponibilidad del ambiente</t>
  </si>
  <si>
    <t>2. Resultados de ejecución errada por despliegues de la aplicación sin el previo aviso</t>
  </si>
  <si>
    <t>3. No cumplimiento de los entregables por Cambio del alcance por parte del Cliente</t>
  </si>
  <si>
    <t>Entregables:</t>
  </si>
  <si>
    <t>Evidencias de Pruebas</t>
  </si>
  <si>
    <t>Gestión de Avances de Pruebas e Incidentes</t>
  </si>
  <si>
    <t>Codigo Fuente</t>
  </si>
  <si>
    <t>SCENARIO</t>
  </si>
  <si>
    <t>CASO</t>
  </si>
  <si>
    <t>TIPO DE PRUEBA</t>
  </si>
  <si>
    <t>Escenarios de Pruebas</t>
  </si>
  <si>
    <t>COMPLEJIDAD</t>
  </si>
  <si>
    <t>REUTILIZADOS/REFACTORIZACION</t>
  </si>
  <si>
    <t>Automatización</t>
  </si>
  <si>
    <t>Positivo</t>
  </si>
  <si>
    <t>MB</t>
  </si>
  <si>
    <t>Excepcion</t>
  </si>
  <si>
    <t>BA</t>
  </si>
  <si>
    <t>NIVEL</t>
  </si>
  <si>
    <t>FUNCIONAL</t>
  </si>
  <si>
    <t>AUTOMATIZACION</t>
  </si>
  <si>
    <t>TECNICO</t>
  </si>
  <si>
    <t>HORAS</t>
  </si>
  <si>
    <t>BB</t>
  </si>
  <si>
    <t>% PREPARACION AMBIENTE</t>
  </si>
  <si>
    <t>BM</t>
  </si>
  <si>
    <t>% DISEÑO(DI-CD,METODOLOGIA)</t>
  </si>
  <si>
    <t>%EJECUCION</t>
  </si>
  <si>
    <t>CICLO 2</t>
  </si>
  <si>
    <t>%DISEÑO DE MANUALES</t>
  </si>
  <si>
    <t>CICLO 3</t>
  </si>
  <si>
    <t>% ENTREGA</t>
  </si>
  <si>
    <t>MM</t>
  </si>
  <si>
    <t>MA</t>
  </si>
  <si>
    <t>AB</t>
  </si>
  <si>
    <t>AM</t>
  </si>
  <si>
    <t>AA</t>
  </si>
  <si>
    <t>ALTO</t>
  </si>
  <si>
    <t>ROM</t>
  </si>
  <si>
    <t>MEDIO</t>
  </si>
  <si>
    <t>BAJO</t>
  </si>
  <si>
    <t>automatizacion</t>
  </si>
  <si>
    <t xml:space="preserve">% MANTENIMIENTO AUTOMATIZACION </t>
  </si>
  <si>
    <t>% PRUEBAS BUAT</t>
  </si>
  <si>
    <t>Dias por Spint</t>
  </si>
  <si>
    <t>HORA. PLANNING</t>
  </si>
  <si>
    <t>HORA. REVIEW</t>
  </si>
  <si>
    <t>HORA. DAILY</t>
  </si>
  <si>
    <t>HORA. RETROSPECTIVA</t>
  </si>
  <si>
    <t>HORA. REFINAMIENTO</t>
  </si>
  <si>
    <t>CEREMONIAS POR SPRINT</t>
  </si>
  <si>
    <t>HORAS LABORABLES DIA</t>
  </si>
  <si>
    <t>Calculos de estimación</t>
  </si>
  <si>
    <t>Tipo de caso prueba</t>
  </si>
  <si>
    <t>INGRESO DATOS</t>
  </si>
  <si>
    <t>EXPORTACIÓN.. ARCHIVOS</t>
  </si>
  <si>
    <t>PROCESOS DE ENT.. Y SALI..</t>
  </si>
  <si>
    <t>SERVICIOS</t>
  </si>
  <si>
    <t>BASES DE DATOS</t>
  </si>
  <si>
    <t>GENERAR DATA</t>
  </si>
  <si>
    <t>DATOS EXTERNOS AL SISTEMA</t>
  </si>
  <si>
    <t>LOOK AND FEEL</t>
  </si>
  <si>
    <t>SMOKE</t>
  </si>
  <si>
    <t xml:space="preserve">CARGA </t>
  </si>
  <si>
    <t>ESTRÉS</t>
  </si>
  <si>
    <t>COMPATIBILIDAD NAVEGADORES</t>
  </si>
  <si>
    <t>COMPATIBILIDAD MOVILES</t>
  </si>
  <si>
    <t>ETL IBM DataStage</t>
  </si>
  <si>
    <t>Modelo de Datos Datamart</t>
  </si>
  <si>
    <t>Capa Semántica Universo SAP BusinessObjects</t>
  </si>
  <si>
    <t>Tablero de Control</t>
  </si>
  <si>
    <t> Reportes</t>
  </si>
  <si>
    <t>Seguridad Oswap WEB</t>
  </si>
  <si>
    <t>Seguridad Oswap APP</t>
  </si>
  <si>
    <t>Otros</t>
  </si>
  <si>
    <t xml:space="preserve"> CASOS</t>
  </si>
  <si>
    <t xml:space="preserve">Planeación </t>
  </si>
  <si>
    <t xml:space="preserve">Diseño </t>
  </si>
  <si>
    <t>Ciclo 1</t>
  </si>
  <si>
    <t>Ciclo 2 40%</t>
  </si>
  <si>
    <t>ciclo 3</t>
  </si>
  <si>
    <t xml:space="preserve">Cierre </t>
  </si>
  <si>
    <t>Total</t>
  </si>
  <si>
    <t>Horas Fun.</t>
  </si>
  <si>
    <t>C. Casos funcionales</t>
  </si>
  <si>
    <t>C. Casos Excepción</t>
  </si>
  <si>
    <t>reutilizcion</t>
  </si>
  <si>
    <t>Horas Totales</t>
  </si>
  <si>
    <t>Horas mantenimiento</t>
  </si>
  <si>
    <t>Horas Auto.</t>
  </si>
  <si>
    <t xml:space="preserve">C. Casos Automatizables </t>
  </si>
  <si>
    <t>automarizados mantenibiidad</t>
  </si>
  <si>
    <t>horas refactorizacion</t>
  </si>
  <si>
    <t>Horas Tecn.</t>
  </si>
  <si>
    <t>C. Casos Tecnicos</t>
  </si>
  <si>
    <t/>
  </si>
  <si>
    <t>LEVANTAMIENTO DE INFORMACIÓN</t>
  </si>
  <si>
    <t>DIAGNÓSTICO INICIAL</t>
  </si>
  <si>
    <t>ANÁLISIS DE INFORMACIÓN</t>
  </si>
  <si>
    <t>ENTREGA DE RESULTADOS</t>
  </si>
  <si>
    <t>SUSTENTACIÓN</t>
  </si>
  <si>
    <t>ACOMPAÑAMIENTO</t>
  </si>
  <si>
    <t>Casos Consultoria</t>
  </si>
  <si>
    <t>MANUAL</t>
  </si>
  <si>
    <t>Complejidad</t>
  </si>
  <si>
    <t>Promedio</t>
  </si>
  <si>
    <t>Tipo de Prueba</t>
  </si>
  <si>
    <t>Horas según complejidad</t>
  </si>
  <si>
    <t>Caso</t>
  </si>
  <si>
    <t>Funcional</t>
  </si>
  <si>
    <t>AUTOMATIZADO</t>
  </si>
  <si>
    <t>Técnico</t>
  </si>
  <si>
    <t>Data</t>
  </si>
  <si>
    <t>Consultoria</t>
  </si>
  <si>
    <t>No entra en el alcance:</t>
  </si>
  <si>
    <t>Bases de Datos</t>
  </si>
  <si>
    <t>Compatibilidad Moviles</t>
  </si>
  <si>
    <t>Generar transaccional</t>
  </si>
  <si>
    <t>Levantamiento de información</t>
  </si>
  <si>
    <t>Definición Plan y Estrategia de Pruebas</t>
  </si>
  <si>
    <t>NO ESTA IMPLEMENTADO</t>
  </si>
  <si>
    <t>Compatibilidad Navegadores</t>
  </si>
  <si>
    <t>Carga</t>
  </si>
  <si>
    <t>Generacion de Pagos</t>
  </si>
  <si>
    <t>Diagnóstico Inicial</t>
  </si>
  <si>
    <t>Pruebas de seguridad</t>
  </si>
  <si>
    <t>Datos externos al sistema</t>
  </si>
  <si>
    <t>Generacion de Usuarios</t>
  </si>
  <si>
    <t>Análisis de información</t>
  </si>
  <si>
    <t>Pruebas de Performance</t>
  </si>
  <si>
    <t>Automatizacion</t>
  </si>
  <si>
    <t>Exportacion de archivos y validacion estructura</t>
  </si>
  <si>
    <t>Estrés</t>
  </si>
  <si>
    <t>Entrega de resultados</t>
  </si>
  <si>
    <t>Informe Pruebas de Rendimiento</t>
  </si>
  <si>
    <t>Pruebas de responsive</t>
  </si>
  <si>
    <t xml:space="preserve">Ingreso de datos </t>
  </si>
  <si>
    <t xml:space="preserve"> ETL IBM DataStage</t>
  </si>
  <si>
    <t>Sustentación</t>
  </si>
  <si>
    <t>Informe Pruebas de Seguridad</t>
  </si>
  <si>
    <t>Pruebas de Carga y Estres</t>
  </si>
  <si>
    <t>Look and feel</t>
  </si>
  <si>
    <t>Acompañamiento</t>
  </si>
  <si>
    <t>Pruebas Automatizadas</t>
  </si>
  <si>
    <t>Procesos de entrada y salida</t>
  </si>
  <si>
    <t>Seguridad Owasp APP</t>
  </si>
  <si>
    <t>Evidencias de Ejecución (PDF - Video)</t>
  </si>
  <si>
    <t>Seguridad Owasp WEB</t>
  </si>
  <si>
    <t>Manual y/o Video de Ejecución</t>
  </si>
  <si>
    <t xml:space="preserve">Smoke </t>
  </si>
  <si>
    <t>Servicios</t>
  </si>
  <si>
    <t>Manual de Instalación</t>
  </si>
  <si>
    <t>Configuración Continuos Testing Azure DevOps</t>
  </si>
  <si>
    <t>Escenarios de pruebas</t>
  </si>
  <si>
    <t xml:space="preserve">Negativo </t>
  </si>
  <si>
    <t>Nivel</t>
  </si>
  <si>
    <t>Alto</t>
  </si>
  <si>
    <t>Medio</t>
  </si>
  <si>
    <t>Generar Data</t>
  </si>
  <si>
    <t>Bajo</t>
  </si>
  <si>
    <t>Bajo-Bajo</t>
  </si>
  <si>
    <t>Bajo-Medio</t>
  </si>
  <si>
    <t>Bajo-Alto</t>
  </si>
  <si>
    <t>Medio-Bajo</t>
  </si>
  <si>
    <t>Medio-Medio</t>
  </si>
  <si>
    <t>Medio-Alto</t>
  </si>
  <si>
    <t>Alto-Bajo</t>
  </si>
  <si>
    <t>Alto-Medio</t>
  </si>
  <si>
    <t>Alto-Alto</t>
  </si>
  <si>
    <t>validacion de documentacion con poca insertumbre  se adiciona un 5% de tiempo sobre el tiempo total del proyecto</t>
  </si>
  <si>
    <t>validacion de documentacion con media insertumbre  se adiciona un 10% de tiempo sobre el tiempo total del proyecto</t>
  </si>
  <si>
    <t>validacion de documentacion con mucha insertumbre  se adiciona un 5% de tiempo sobre el tiempo total del proyecto</t>
  </si>
  <si>
    <r>
      <rPr>
        <i/>
        <sz val="10"/>
        <rFont val="Calibri"/>
        <family val="2"/>
        <scheme val="minor"/>
      </rPr>
      <t xml:space="preserve">Ejemplo: </t>
    </r>
    <r>
      <rPr>
        <sz val="10"/>
        <rFont val="Calibri"/>
        <family val="2"/>
        <scheme val="minor"/>
      </rPr>
      <t xml:space="preserve">Validar consumo del servicio login con sus 3 operaciones = Complejidad </t>
    </r>
    <r>
      <rPr>
        <sz val="10"/>
        <color rgb="FFFF0000"/>
        <rFont val="Calibri"/>
        <family val="2"/>
        <scheme val="minor"/>
      </rPr>
      <t xml:space="preserve">Bajo </t>
    </r>
  </si>
  <si>
    <t>Hoja ESTIMACION</t>
  </si>
  <si>
    <t>Se debe diligenciar con el nombre del proyecto como registra en la carpeta del Sharepoint</t>
  </si>
  <si>
    <t>Se debe diligenciar con el nombre de l responsable o los responsables de la estimación</t>
  </si>
  <si>
    <t>Se debe diligenciar la fecha en la que se elaboro la estimación</t>
  </si>
  <si>
    <t>Planeación:</t>
  </si>
  <si>
    <t>Campo Automático</t>
  </si>
  <si>
    <t>Diseño</t>
  </si>
  <si>
    <t>Ejecución</t>
  </si>
  <si>
    <t>Horas Automatización</t>
  </si>
  <si>
    <t>Total Ejecución Proyecto</t>
  </si>
  <si>
    <t>Desviación Ejecución 5%</t>
  </si>
  <si>
    <t>Dailys</t>
  </si>
  <si>
    <t>Total Horas Proyecto</t>
  </si>
  <si>
    <t>Cantidad Analistas</t>
  </si>
  <si>
    <t>Se debe Diligenciar con la cantidad de analistas que se abordara el proyecto, si son pruebas funcionales y técnicas va con 2 analistas</t>
  </si>
  <si>
    <t>Total Horas con automatizacion</t>
  </si>
  <si>
    <t>Alcance de las pruebas:</t>
  </si>
  <si>
    <t>Se debe verificar que se encuentre diligenciadas las funcionalidades que están dentro del esfuerzo del testing. El alcance es definido en base al análisis de riesgo realizado previamente.</t>
  </si>
  <si>
    <t>Se debe verificar que no están dentro del esfuerzo de testing. El alcance es definido en base al análisis de riesgo realizado previamente.</t>
  </si>
  <si>
    <t xml:space="preserve">Supuestos / Riesgos / Restricciones: </t>
  </si>
  <si>
    <t>Se debe verificar que se encuentren diligenciados los riesgos más comunes que se presentan en un software.</t>
  </si>
  <si>
    <t>Se debe seleccionar de la lista de Valores los documentos a entregar en la certificación</t>
  </si>
  <si>
    <t>Hoja MATRIZ TRAZA</t>
  </si>
  <si>
    <t>HU/ MODULO/ REQ :</t>
  </si>
  <si>
    <t>Diligenciar el campo con el nombre que identifica la Historia de Usuario, el Modulo o el Requerimiento a estimar.  Se debe crear grupos por cada item de este punto.</t>
  </si>
  <si>
    <t>Asegurar el ID de identificación de cada caso de prueba con el fin de cruzar la totalidad de los casos en la hoja "ESTIMACION"</t>
  </si>
  <si>
    <t>Describir el caso de prueba a estimar con el detalle, sin son reportes o formularios se debe indicar la cantidad de campos</t>
  </si>
  <si>
    <t>Seleccionar de la lista de Valores:</t>
  </si>
  <si>
    <t>Ingreso de datos, Exportación de archivos y validación estructura, Procesos que combinan datos de entrada y salida, Look and feel,Smoke,Compatibilidad, Manuales</t>
  </si>
  <si>
    <t>Servicios, Bases de datos, Datos externos al sistema, Carga, Estrés, Seguridad</t>
  </si>
  <si>
    <t>Excepción</t>
  </si>
  <si>
    <t>Ingreso de datos, Exportación de archivos y validación estructura, Procesos que combinan datos de entrada y salida, Look and feel,Smoke,Compatibilidad</t>
  </si>
  <si>
    <t xml:space="preserve">Cualquier otro tipo de caso de pruebas que se vaya a realizar en el sistema </t>
  </si>
  <si>
    <t>Validación de registros en Bases de datos</t>
  </si>
  <si>
    <t>Se debe validar los universos (Los parámetros de conexión - Estructuras SQL - Esquema de las tablas y combinaciones), con el fin de visualizar una interfaz que sea fácil de utilizar y entender para los usuarios
no técnicos de Web Intelligence, de modo que puedan ejecutar consultas en una base de datos para
crear informes y efectuar análisis de los datos.</t>
  </si>
  <si>
    <t>Cargar un sistema para validar  su rendimiento (Sobrecargar un servicio de mensajería)</t>
  </si>
  <si>
    <t>Compatibilidad Móviles</t>
  </si>
  <si>
    <t>validación en diferentes móviles (Validar aplicativo funcione en móvil Android y IOS)</t>
  </si>
  <si>
    <t>Validación en diferentes navegadores (Validar aplicativo web en navegadores "Firefox, Chrome, Edge")</t>
  </si>
  <si>
    <t>Validación de conexión a plataformas externas o base de datos externas (Validar conexión del aplicativo con el buscador de google, Validar conexión con una red social)</t>
  </si>
  <si>
    <t>Someter al sistema a un carga extrema de información para validar su funcionamiento (Validar como reacciona el sistema a varias sesiones activas al mismo tiempo)</t>
  </si>
  <si>
    <t>Para estas pruebas se cuenta con una Guía en el siguiente Link (https://periferiaitgrouptfs.visualstudio.com/Fabrica%20de%20Pruebas/_wiki/wikis/Fabrica-de-Pruebas.wiki/304/M%C3%A9tricas-de-estimaci%C3%B3n-ETLS)</t>
  </si>
  <si>
    <t>Exportación de archivos y validación estructura</t>
  </si>
  <si>
    <t>Acciones donde se exporta un archivo, y se valida su estructura (Exportación de archivo PDF, EXCEL )</t>
  </si>
  <si>
    <t>Acciones donde se ingresen datos al sistema (login de usuario, registro, llenar un formulario )</t>
  </si>
  <si>
    <t>Validación de interfaz (Validación de logos, tamaño títulos, letras, Ortografia)</t>
  </si>
  <si>
    <t>Validación de consultas, recopilación de datos de diferentes fuentes y consolidación en un mismo repositorio, todo esto a través de herramientas de Extracción, Transformación y Carga (ETL)</t>
  </si>
  <si>
    <t>Acciones donde se selecciona o da clic y se espera una reacción (Seleccionar un menú desplegable y validar sus opciones, dar clic en un botón y validar funcionalidad)</t>
  </si>
  <si>
    <t xml:space="preserve">Cualquier otra validación que se vaya a realizar en el sistema </t>
  </si>
  <si>
    <t>Reportes</t>
  </si>
  <si>
    <t xml:space="preserve">Validación de los reportes generados en la aplicación </t>
  </si>
  <si>
    <t>1: Uso inadecuado de la plataforma
2: Almacenamiento de datos inseguro
3: Comunicación Insegura
4: Autenticación insegura
5: Criptografía insuficiente
6: Autorización insegura
7: Calidad del código del cliente
8: Manipulación de código
9: Ingeniería inversa
10: Funcionalidad extraña
Nota: Las pruebas en sistemas IOS son mas complejas por lo que se recomienda dejar la complejidad como ALTA</t>
  </si>
  <si>
    <t>1: Pérdida de Control de Acceso
2: Fallas Criptográficas
3: Inyección
4: Diseño Inseguro
5: Configuración de Seguridad Incorrecta
6: Componentes Vulnerables y Desactualizados
7: Fallas de Identificación y Autenticación
8: Fallas en el Software y en la Integridad de los Datos
9: Fallas en el Registro y Monitoreo
10: Falsificación de Solicitudes del Lado del Servidor (SSRF)</t>
  </si>
  <si>
    <t>Validación de servicios (Validar que se consuma la orquestación de servicios al iniciar sesión)</t>
  </si>
  <si>
    <t>Validar las funcionalidades básicas rápidamente (Validar modulo de login)</t>
  </si>
  <si>
    <t>Valida el estado actual de uno o varios elementos de la medición (indicadores, planes, estrategias, iniciativas).</t>
  </si>
  <si>
    <t>Se debe marcar los casos suceptibles a Automatizar</t>
  </si>
  <si>
    <t>AUTOAMTIZDO</t>
  </si>
  <si>
    <t>Jhon Higuita Osorio</t>
  </si>
  <si>
    <t>4. Uso de usuario con doble factor de autenticación</t>
  </si>
  <si>
    <t>2. Validación los flujos de creacion, edicion y eliminacion de Front Externo</t>
  </si>
  <si>
    <t>1 Validación los flujos de creacion, edicion y eliminacion de Front Interno</t>
  </si>
  <si>
    <t>3. Validar que un login funcione correctamente con la doble autenticación</t>
  </si>
  <si>
    <t>5.Cambios en la aplicación</t>
  </si>
  <si>
    <t>4. Patron de diseño Screenplay, lenguaje java y frameworks usamos selenium cucumber y serenity</t>
  </si>
  <si>
    <t>HU/ MODULO/ REQ : Seguridad(Token)</t>
  </si>
  <si>
    <t>CP001</t>
  </si>
  <si>
    <t>Generar token con credenciales válidas</t>
  </si>
  <si>
    <t>CP002</t>
  </si>
  <si>
    <t>Validar Usuario inválido</t>
  </si>
  <si>
    <t>Negativo</t>
  </si>
  <si>
    <t>CP003</t>
  </si>
  <si>
    <t>Validar Contraseña inválida</t>
  </si>
  <si>
    <t>CP004</t>
  </si>
  <si>
    <t>Validar scope invalido</t>
  </si>
  <si>
    <t>CP005</t>
  </si>
  <si>
    <t>CP006</t>
  </si>
  <si>
    <t>CP007</t>
  </si>
  <si>
    <t>CP008</t>
  </si>
  <si>
    <t>Validar token con url Erronea</t>
  </si>
  <si>
    <t>CP009</t>
  </si>
  <si>
    <t xml:space="preserve">HU/ MODULO/ REQ : </t>
  </si>
  <si>
    <t> Aseguramiento flujo EndToEnd V2 - V2</t>
  </si>
  <si>
    <t> </t>
  </si>
  <si>
    <t>Validar la generación de intents P2P - Happy path</t>
  </si>
  <si>
    <t>Validar la generación de intents P2B - Happy path</t>
  </si>
  <si>
    <t>CP013</t>
  </si>
  <si>
    <t>Validar la generación de intents B2P - Happy path</t>
  </si>
  <si>
    <t>CP014</t>
  </si>
  <si>
    <t>Validar la generación de intents B2B - Happy path</t>
  </si>
  <si>
    <t>CP015</t>
  </si>
  <si>
    <t>Validar generación correcta del hash SHA256 en header x-hash</t>
  </si>
  <si>
    <t>CP016</t>
  </si>
  <si>
    <t>CP017</t>
  </si>
  <si>
    <t>Validar rechazo cuando el header x-hash viene vacío</t>
  </si>
  <si>
    <t>CP018</t>
  </si>
  <si>
    <t>CP019</t>
  </si>
  <si>
    <t>CP020</t>
  </si>
  <si>
    <t>CP021</t>
  </si>
  <si>
    <t>Validar requestId con longitud exacta de 36 caracteres</t>
  </si>
  <si>
    <t>CP022</t>
  </si>
  <si>
    <t>Validar rechazo de requestId menor a 36 caracteres</t>
  </si>
  <si>
    <t>CP023</t>
  </si>
  <si>
    <t>CP024</t>
  </si>
  <si>
    <t>Validar valor fijo version = 1.0.0</t>
  </si>
  <si>
    <t>CP025</t>
  </si>
  <si>
    <t>Validar rechazo cuando version es diferente a 1.0.0</t>
  </si>
  <si>
    <t>Validar formato correcto de timestamp</t>
  </si>
  <si>
    <t>Validar rechazo por timestamp inválido</t>
  </si>
  <si>
    <t>Validar obligatoriedad del objeto data</t>
  </si>
  <si>
    <t>Validar movementType = P2P-BREB</t>
  </si>
  <si>
    <t>CP030</t>
  </si>
  <si>
    <t>Validar movementType = P2B-BREB</t>
  </si>
  <si>
    <t>CP031</t>
  </si>
  <si>
    <t>Validar movementType = B2B-BREB</t>
  </si>
  <si>
    <t>CP032</t>
  </si>
  <si>
    <t>Validar movementType = B2P-BREB</t>
  </si>
  <si>
    <t>CP033</t>
  </si>
  <si>
    <t>CP034</t>
  </si>
  <si>
    <t>CP035</t>
  </si>
  <si>
    <t>CP036</t>
  </si>
  <si>
    <t>CP037</t>
  </si>
  <si>
    <t>Validar rechazo de movementType no parametrizado</t>
  </si>
  <si>
    <t>CP038</t>
  </si>
  <si>
    <t>Validar obligatoriedad de id para movimiento P2P-BREB</t>
  </si>
  <si>
    <t>CP039</t>
  </si>
  <si>
    <t>Validar obligatoriedad de id para movimiento P2B-BREB</t>
  </si>
  <si>
    <t>CP040</t>
  </si>
  <si>
    <t>Validar que id sea opcional para movimientos diferentes a BREB</t>
  </si>
  <si>
    <t>CP041</t>
  </si>
  <si>
    <t>Validar error si se intenta usar el End2End otro SPBVI (SRV)</t>
  </si>
  <si>
    <t>CP042</t>
  </si>
  <si>
    <t>Validar error si se intenta usar el End2End fecha erronea</t>
  </si>
  <si>
    <t>CP043</t>
  </si>
  <si>
    <t>Validar error si se intenta usar el End2End si se exeden la cantidad de caracteres permitidos (15) para la secuencia</t>
  </si>
  <si>
    <t>CP044</t>
  </si>
  <si>
    <t>Validar error si se intenta usar el End2End si se envia con menor numero de caracteres (1) para la secuencia</t>
  </si>
  <si>
    <t>CP045</t>
  </si>
  <si>
    <t>Validar error si se intenta usar el End2End con el NIT del participante Naranja siendo originador Cafe</t>
  </si>
  <si>
    <t>Validar error si se intenta usar el End2End con el NIT del participante Verde siendo originador cafe</t>
  </si>
  <si>
    <t>Validar error si se intenta usar el End2End con el NIT del participante INEXISTENTE</t>
  </si>
  <si>
    <t>CP048</t>
  </si>
  <si>
    <t>Validar amount mínimo permitido mayor a cero</t>
  </si>
  <si>
    <t>CP049</t>
  </si>
  <si>
    <t>Validar rechazo cuando amount es cero</t>
  </si>
  <si>
    <t>CP050</t>
  </si>
  <si>
    <t>Validar rechazo cuando amount es negativo</t>
  </si>
  <si>
    <t>CP051</t>
  </si>
  <si>
    <t>CP052</t>
  </si>
  <si>
    <t>CP053</t>
  </si>
  <si>
    <t>CP054</t>
  </si>
  <si>
    <t>CP055</t>
  </si>
  <si>
    <t>CP056</t>
  </si>
  <si>
    <t>CP057</t>
  </si>
  <si>
    <t>CP058</t>
  </si>
  <si>
    <t>CP059</t>
  </si>
  <si>
    <t>Validar obligatoriedad de firstName para NATURAL corectamente</t>
  </si>
  <si>
    <t>CP060</t>
  </si>
  <si>
    <t>CP061</t>
  </si>
  <si>
    <t>Validar campo firstName vacio</t>
  </si>
  <si>
    <t>CP062</t>
  </si>
  <si>
    <t>CP063</t>
  </si>
  <si>
    <t>Validar campo secondName ingresando valor mayor a 40 caracteres</t>
  </si>
  <si>
    <t>CP064</t>
  </si>
  <si>
    <t>Validar campo secondName vacio</t>
  </si>
  <si>
    <t>CP065</t>
  </si>
  <si>
    <t>CP066</t>
  </si>
  <si>
    <t>Validar obligatoriedad de firstLastName para NATURAL corectamente</t>
  </si>
  <si>
    <t>CP067</t>
  </si>
  <si>
    <t>CP068</t>
  </si>
  <si>
    <t>Validar campo firstLastName vacio</t>
  </si>
  <si>
    <t>CP069</t>
  </si>
  <si>
    <t>CP070</t>
  </si>
  <si>
    <t>CP071</t>
  </si>
  <si>
    <t>CP072</t>
  </si>
  <si>
    <t>Validar campo fullName para LEGAL cuando es vacio</t>
  </si>
  <si>
    <t>CP073</t>
  </si>
  <si>
    <t>CP074</t>
  </si>
  <si>
    <t>CP075</t>
  </si>
  <si>
    <t>CP078</t>
  </si>
  <si>
    <t>CP079</t>
  </si>
  <si>
    <t>CP080</t>
  </si>
  <si>
    <t>CP081</t>
  </si>
  <si>
    <t>CP082</t>
  </si>
  <si>
    <t>CP083</t>
  </si>
  <si>
    <t>CP084</t>
  </si>
  <si>
    <t>CP085</t>
  </si>
  <si>
    <t>Validar campo type origen vacio</t>
  </si>
  <si>
    <t>CP086</t>
  </si>
  <si>
    <t>CP087</t>
  </si>
  <si>
    <t>CP088</t>
  </si>
  <si>
    <t>CP089</t>
  </si>
  <si>
    <t>CP090</t>
  </si>
  <si>
    <t>CP091</t>
  </si>
  <si>
    <t>CP092</t>
  </si>
  <si>
    <t>CP093</t>
  </si>
  <si>
    <t>CP094</t>
  </si>
  <si>
    <t>CP095</t>
  </si>
  <si>
    <t>Validar accountType origen vacio</t>
  </si>
  <si>
    <t>CP096</t>
  </si>
  <si>
    <t>CP097</t>
  </si>
  <si>
    <t>Validar financialInstitutionId sin dígito de verificación</t>
  </si>
  <si>
    <t>CP098</t>
  </si>
  <si>
    <t>Validar rechazo de financialInstitutionId mayor a 9 dígitos</t>
  </si>
  <si>
    <t>CP099</t>
  </si>
  <si>
    <t>CP100</t>
  </si>
  <si>
    <t>CP101</t>
  </si>
  <si>
    <t>CP102</t>
  </si>
  <si>
    <t>CP103</t>
  </si>
  <si>
    <t>Validar campo firstName ingresando valor mayor a 40 caracteres en target</t>
  </si>
  <si>
    <t>CP104</t>
  </si>
  <si>
    <t>CP105</t>
  </si>
  <si>
    <t>CP106</t>
  </si>
  <si>
    <t>Validar campo secondName ingresando valor mayor a 40 caracteres en target</t>
  </si>
  <si>
    <t>CP107</t>
  </si>
  <si>
    <t>CP108</t>
  </si>
  <si>
    <t>Validar campo secondName con solo numeros en target</t>
  </si>
  <si>
    <t>CP109</t>
  </si>
  <si>
    <t>Validar obligatoriedad de firstLastName para NATURAL correctamente en target</t>
  </si>
  <si>
    <t>CP110</t>
  </si>
  <si>
    <t>Validar campo firstLastName ingresando valor mayor a 40 caracteres en target</t>
  </si>
  <si>
    <t>Validar obligatoriedad de fullName para LEGAL en target</t>
  </si>
  <si>
    <t>Validar campo fullName para LEGAL cuando supera maximo de 160 caracretres en target</t>
  </si>
  <si>
    <t>Validar campo number target alfanumérico</t>
  </si>
  <si>
    <t>Validar rechazo number target superios a 18</t>
  </si>
  <si>
    <t>Validar rechazo number target con caracteres especiales y letras</t>
  </si>
  <si>
    <t>Validar obligatoriedad de spbviCode para movimientos BREB</t>
  </si>
  <si>
    <t>Validar obligatoriedad de alias para movimientos BREB</t>
  </si>
  <si>
    <t>Validar aliasType = NRIC aliasValue = Documento de identificación</t>
  </si>
  <si>
    <t>Validar aliasType = PHONE aliasValue = Número celular</t>
  </si>
  <si>
    <t>Validar aliasType = EMAIL aliasValue = Correo electrónico - Email</t>
  </si>
  <si>
    <t>Validar aliasType = ALPHANUM aliasValue = Alfanumérico</t>
  </si>
  <si>
    <t>Validar aliasType = MERCHENTCODE aliasValue = Código del comercio</t>
  </si>
  <si>
    <t>Validar aliasType invalido</t>
  </si>
  <si>
    <t>Validar rechazo de aliasValue vacio</t>
  </si>
  <si>
    <t>Validar longitud máxima de aliasValue</t>
  </si>
  <si>
    <t>Validar qrId de longitud exacta 35 caracteres</t>
  </si>
  <si>
    <t>Validar rechazo por qrId inválido</t>
  </si>
  <si>
    <t>Validar longitud máxima de 34 accountId en target</t>
  </si>
  <si>
    <t>Validar  accountId Vacio en target</t>
  </si>
  <si>
    <t>CP147</t>
  </si>
  <si>
    <t>CP148</t>
  </si>
  <si>
    <t>CP149</t>
  </si>
  <si>
    <t>CP150</t>
  </si>
  <si>
    <t>Validar accountType origen vacio en target</t>
  </si>
  <si>
    <t>Validar financialInstitutionId sin dígito de verificación en target</t>
  </si>
  <si>
    <t>Validar rechazo de financialInstitutionId vacio en target</t>
  </si>
  <si>
    <t>Validar transactionPurpose =COMPRAS</t>
  </si>
  <si>
    <t>Validar transactionPurpose =ANULACIONES</t>
  </si>
  <si>
    <t>Validar transactionPurpose =TRANSFERENCIAS</t>
  </si>
  <si>
    <t>Validar transactionPurpose = RETIRO</t>
  </si>
  <si>
    <t>Validar transactionPurpose =RECAUDO</t>
  </si>
  <si>
    <t>Validar transactionPurpose = RECARGAS</t>
  </si>
  <si>
    <t>Validar transactionPurpose =DEPOSITO</t>
  </si>
  <si>
    <t>Validar transactionPurpose =NOMINA</t>
  </si>
  <si>
    <t>Validar transactionPurpose =SUBSIDIOS</t>
  </si>
  <si>
    <t>Validar transactionPurpose =PROVEEDORES</t>
  </si>
  <si>
    <t>Validar rechazo por transactionPurpose inválido</t>
  </si>
  <si>
    <t>Validar canal = IM</t>
  </si>
  <si>
    <t>Validar canal = POS</t>
  </si>
  <si>
    <t>CP173</t>
  </si>
  <si>
    <t>Validar canal = APP</t>
  </si>
  <si>
    <t>CP174</t>
  </si>
  <si>
    <t>Validar canal = ECOMM</t>
  </si>
  <si>
    <t>CP175</t>
  </si>
  <si>
    <t>Validar canal = MPOS</t>
  </si>
  <si>
    <t>CP176</t>
  </si>
  <si>
    <t>Validar canal = ATM</t>
  </si>
  <si>
    <t>CP177</t>
  </si>
  <si>
    <t>Validar canal = CB</t>
  </si>
  <si>
    <t>CP178</t>
  </si>
  <si>
    <t>Validar canal = OFC</t>
  </si>
  <si>
    <t>CP179</t>
  </si>
  <si>
    <t>Validar canal = PSE</t>
  </si>
  <si>
    <t>CP180</t>
  </si>
  <si>
    <t>CP181</t>
  </si>
  <si>
    <t>Validar canal =vacio</t>
  </si>
  <si>
    <t>CP182</t>
  </si>
  <si>
    <t>Validar obligatoriedad de timestamps para BREB</t>
  </si>
  <si>
    <t>CP183</t>
  </si>
  <si>
    <t>CP184</t>
  </si>
  <si>
    <t>CP185</t>
  </si>
  <si>
    <t>CP186</t>
  </si>
  <si>
    <t>CP187</t>
  </si>
  <si>
    <t>CP188</t>
  </si>
  <si>
    <t>CP189</t>
  </si>
  <si>
    <t>Validar rechazo target documento = 1111111111</t>
  </si>
  <si>
    <t>CP190</t>
  </si>
  <si>
    <t>Validar Protocolo TLS v1.3</t>
  </si>
  <si>
    <t>CP191</t>
  </si>
  <si>
    <t>Validar Protocolo TLS v1.2</t>
  </si>
  <si>
    <t>CP192</t>
  </si>
  <si>
    <t>Validar cuando los Protocolos TLS1.3 y TLS1.2 esten bloqueados</t>
  </si>
  <si>
    <t>Aseguramiento flujo EndToEnd V1 - V2</t>
  </si>
  <si>
    <t>CP193</t>
  </si>
  <si>
    <t>CP194</t>
  </si>
  <si>
    <t>CP195</t>
  </si>
  <si>
    <t>CP196</t>
  </si>
  <si>
    <t>CP197</t>
  </si>
  <si>
    <t>CP198</t>
  </si>
  <si>
    <t>CP199</t>
  </si>
  <si>
    <t>CP200</t>
  </si>
  <si>
    <t>CP201</t>
  </si>
  <si>
    <t>CP202</t>
  </si>
  <si>
    <t>CP203</t>
  </si>
  <si>
    <t>CP204</t>
  </si>
  <si>
    <t> Aseguramiento flujo EndToEnd V2 - V1</t>
  </si>
  <si>
    <t>Validar rechazo sources docuemnto = 1111111111</t>
  </si>
  <si>
    <t>Flujo EndtoEnd - Acount - Aconunt</t>
  </si>
  <si>
    <t>Validar obligatoriedad de fullName para LEGAL corectamente</t>
  </si>
  <si>
    <t>Validar accountType origen superando 34 caracteres</t>
  </si>
  <si>
    <t>Validar campo type origen y type destino sean Incorrecto en target</t>
  </si>
  <si>
    <t>Validar canal = invalido</t>
  </si>
  <si>
    <t>ok</t>
  </si>
  <si>
    <t>Validacion de protocolo permitido (1,3 o 1,2 )</t>
  </si>
  <si>
    <t>Validar currency permitido - Tipo de Moneda</t>
  </si>
  <si>
    <t>Validar rechazo de currency vacio - Tipo de Moneda</t>
  </si>
  <si>
    <t> Aseguramiento flujo EndToEnd V2 - V1 BRE-B</t>
  </si>
  <si>
    <t>CP010</t>
  </si>
  <si>
    <t>CP011</t>
  </si>
  <si>
    <t>CP012</t>
  </si>
  <si>
    <t>CP026</t>
  </si>
  <si>
    <t>CP027</t>
  </si>
  <si>
    <t>CP028</t>
  </si>
  <si>
    <t>CP029</t>
  </si>
  <si>
    <t>CP046</t>
  </si>
  <si>
    <t>CP047</t>
  </si>
  <si>
    <t>CP076</t>
  </si>
  <si>
    <t>CP077</t>
  </si>
  <si>
    <t>Validar number origen correctemente</t>
  </si>
  <si>
    <t>Validar la generación de intents P2B - Happy path (NUIP-&gt;PPT)</t>
  </si>
  <si>
    <t>Validar la generación de intents P2P - Happy path (NUIP-&gt;PPT)</t>
  </si>
  <si>
    <t>Validar la generación de intents P2P - Happy path (PPT-&gt;NUIP)</t>
  </si>
  <si>
    <t>Validar la generación de intents P2P - Happy path (NIT-&gt;PEP)</t>
  </si>
  <si>
    <t>Validar la generación de intents P2P - Happy path (PEP-&gt;NIT)</t>
  </si>
  <si>
    <t>Validar la generación de intents P2P - Happy path (PAS-&gt;TDI)</t>
  </si>
  <si>
    <t>Validar la generación de intents P2P - Happy path (TDI-&gt;PAS)</t>
  </si>
  <si>
    <t>Validar la generación de intents P2B - Happy path (CC-&gt;CE)</t>
  </si>
  <si>
    <t>Validar la generación de intents P2B - Happy path (CE-&gt;CC)</t>
  </si>
  <si>
    <t>Validar la generación de intents P2B - Happy path (PPT-&gt;NUIP)</t>
  </si>
  <si>
    <t>Validar la generación de intents P2B - Happy path (NIT-&gt;PEP)</t>
  </si>
  <si>
    <t>Validar la generación de intents P2B - Happy path (PEP-&gt;NIT)</t>
  </si>
  <si>
    <t>Validar la generación de intents P2B - Happy path (PAS-&gt;TDI)</t>
  </si>
  <si>
    <t>Validar la generación de intents P2B - Happy path (TDI-&gt;PAS)</t>
  </si>
  <si>
    <t>Validar la generación de intents P2P - Happy path (CC-&gt;CE)</t>
  </si>
  <si>
    <t>Validar la generación de intents P2P - Happy path (CC-&gt;NUIP)</t>
  </si>
  <si>
    <t>Validar la generación de intents P2P - Happy path (CC-&gt;PPT)</t>
  </si>
  <si>
    <t>Validar la generación de intents P2P - Happy path (CC-&gt;NIT)</t>
  </si>
  <si>
    <t>Validar la generación de intents P2P - Happy path (CC-&gt;PEP)</t>
  </si>
  <si>
    <t>Validar la generación de intents P2P - Happy path (CC-&gt;PAS)</t>
  </si>
  <si>
    <t>Validar la generación de intents P2P - Happy path (CC-&gt;TDI)</t>
  </si>
  <si>
    <t>Validar la generación de intents P2P - Happy path (CE-&gt;CC)</t>
  </si>
  <si>
    <t>Validar la generación de intents P2P - Happy path (CE-&gt;NUIP)</t>
  </si>
  <si>
    <t>Validar la generación de intents P2P - Happy path (CE-&gt;PPT)</t>
  </si>
  <si>
    <t>Validar la generación de intents P2P - Happy path (CE-&gt;NIT)</t>
  </si>
  <si>
    <t>Validar la generación de intents P2P - Happy path (CE-&gt;PEP)</t>
  </si>
  <si>
    <t>Validar la generación de intents P2P - Happy path (CE-&gt;PAS)</t>
  </si>
  <si>
    <t>Validar la generación de intents P2P - Happy path (CE-&gt;TDI)</t>
  </si>
  <si>
    <t>Validar la generación de intents P2P - Happy path (NUIP-&gt;CC)</t>
  </si>
  <si>
    <t>Validar la generación de intents P2P - Happy path (NUIP-&gt;CE)</t>
  </si>
  <si>
    <t>Validar la generación de intents P2P - Happy path (NUIP-&gt;NIT)</t>
  </si>
  <si>
    <t>Validar la generación de intents P2P - Happy path (NUIP-&gt;PEP)</t>
  </si>
  <si>
    <t>Validar la generación de intents P2P - Happy path (NUIP-&gt;PAS)</t>
  </si>
  <si>
    <t>Validar la generación de intents P2P - Happy path (NUIP-&gt;TDI)</t>
  </si>
  <si>
    <t>Validar la generación de intents P2P - Happy path (PPT-&gt;CC)</t>
  </si>
  <si>
    <t>Validar la generación de intents P2P - Happy path (PPT-&gt;CE)</t>
  </si>
  <si>
    <t>Validar la generación de intents P2P - Happy path (PPT-&gt;NIT)</t>
  </si>
  <si>
    <t>Validar la generación de intents P2P - Happy path (PPT-&gt;PEP)</t>
  </si>
  <si>
    <t>Validar la generación de intents P2P - Happy path (PPT-&gt;PAS)</t>
  </si>
  <si>
    <t>Validar la generación de intents P2P - Happy path (PPT-&gt;TDI)</t>
  </si>
  <si>
    <t>Validar la generación de intents P2P - Happy path (NIT-&gt;CC)</t>
  </si>
  <si>
    <t>Validar la generación de intents P2P - Happy path (NIT-&gt;CE)</t>
  </si>
  <si>
    <t>Validar la generación de intents P2P - Happy path (NIT-&gt;NUIP)</t>
  </si>
  <si>
    <t>Validar la generación de intents P2P - Happy path (NIT-&gt;PPT)</t>
  </si>
  <si>
    <t>Validar la generación de intents P2P - Happy path (NIT-&gt;PAS)</t>
  </si>
  <si>
    <t>Validar la generación de intents P2P - Happy path (NIT-&gt;TDI)</t>
  </si>
  <si>
    <t>Validar la generación de intents P2P - Happy path (PEP-&gt;CC)</t>
  </si>
  <si>
    <t>Validar la generación de intents P2P - Happy path (PEP-&gt;CE)</t>
  </si>
  <si>
    <t>Validar la generación de intents P2P - Happy path (PEP-&gt;NUIP)</t>
  </si>
  <si>
    <t>Validar la generación de intents P2P - Happy path (PEP-&gt;PPT)</t>
  </si>
  <si>
    <t>Validar la generación de intents P2P - Happy path (PEP-&gt;PAS)</t>
  </si>
  <si>
    <t>Validar la generación de intents P2P - Happy path (PEP-&gt;TDI)</t>
  </si>
  <si>
    <t>Validar la generación de intents P2P - Happy path (PAS-&gt;CC)</t>
  </si>
  <si>
    <t>Validar la generación de intents P2P - Happy path (PAS-&gt;CE)</t>
  </si>
  <si>
    <t>Validar la generación de intents P2P - Happy path (PAS-&gt;NUIP)</t>
  </si>
  <si>
    <t>Validar la generación de intents P2P - Happy path (PAS-&gt;PPT)</t>
  </si>
  <si>
    <t>Validar la generación de intents P2P - Happy path (PAS-&gt;NIT)</t>
  </si>
  <si>
    <t>Validar la generación de intents P2P - Happy path (PAS-&gt;PEP)</t>
  </si>
  <si>
    <t>Validar la generación de intents P2P - Happy path (TDI-&gt;CC)</t>
  </si>
  <si>
    <t>Validar la generación de intents P2P - Happy path (TDI-&gt;CE)</t>
  </si>
  <si>
    <t>Validar la generación de intents P2P - Happy path (TDI-&gt;NUIP)</t>
  </si>
  <si>
    <t>Validar la generación de intents P2P - Happy path (TDI-&gt;PPT)</t>
  </si>
  <si>
    <t>Validar la generación de intents P2P - Happy path (TDI-&gt;NIT)</t>
  </si>
  <si>
    <t>Validar la generación de intents P2P - Happy path (TDI-&gt;PEP)</t>
  </si>
  <si>
    <t>Validar la generación de intents P2B - Happy path (CC-&gt;NUIP)</t>
  </si>
  <si>
    <t>Validar la generación de intents P2B - Happy path (CC-&gt;PPT)</t>
  </si>
  <si>
    <t>Validar la generación de intents P2B - Happy path (CC-&gt;NIT)</t>
  </si>
  <si>
    <t>Validar la generación de intents P2B - Happy path (CC-&gt;PEP)</t>
  </si>
  <si>
    <t>Validar la generación de intents P2B - Happy path (CC-&gt;PAS)</t>
  </si>
  <si>
    <t>Validar la generación de intents P2B - Happy path (CC-&gt;TDI)</t>
  </si>
  <si>
    <t>Validar la generación de intents P2B - Happy path (CE-&gt;NUIP)</t>
  </si>
  <si>
    <t>Validar la generación de intents P2B - Happy path (CE-&gt;PPT)</t>
  </si>
  <si>
    <t>Validar la generación de intents P2B - Happy path (CE-&gt;NIT)</t>
  </si>
  <si>
    <t>Validar la generación de intents P2B - Happy path (CE-&gt;PEP)</t>
  </si>
  <si>
    <t>Validar la generación de intents P2B - Happy path (CE-&gt;PAS)</t>
  </si>
  <si>
    <t>Validar la generación de intents P2B - Happy path (CE-&gt;TDI)</t>
  </si>
  <si>
    <t>Validar la generación de intents P2B - Happy path (NUIP-&gt;CC)</t>
  </si>
  <si>
    <t>Validar la generación de intents P2B - Happy path (NUIP-&gt;CE)</t>
  </si>
  <si>
    <t>Validar la generación de intents P2B - Happy path (NUIP-&gt;NIT)</t>
  </si>
  <si>
    <t>Validar la generación de intents P2B - Happy path (NUIP-&gt;PEP)</t>
  </si>
  <si>
    <t>Validar la generación de intents P2B - Happy path (NUIP-&gt;PAS)</t>
  </si>
  <si>
    <t>Validar la generación de intents P2B - Happy path (NUIP-&gt;TDI)</t>
  </si>
  <si>
    <t>Validar la generación de intents P2B - Happy path (PPT-&gt;CC)</t>
  </si>
  <si>
    <t>Validar la generación de intents P2B - Happy path (PPT-&gt;CE)</t>
  </si>
  <si>
    <t>Validar la generación de intents P2B - Happy path (PPT-&gt;NIT)</t>
  </si>
  <si>
    <t>Validar la generación de intents P2B - Happy path (PPT-&gt;PEP)</t>
  </si>
  <si>
    <t>Validar la generación de intents P2B - Happy path (PPT-&gt;PAS)</t>
  </si>
  <si>
    <t>Validar la generación de intents P2B - Happy path (PPT-&gt;TDI)</t>
  </si>
  <si>
    <t>Validar la generación de intents P2B - Happy path (NIT-&gt;CC)</t>
  </si>
  <si>
    <t>Validar la generación de intents P2B - Happy path (NIT-&gt;CE)</t>
  </si>
  <si>
    <t>Validar la generación de intents P2B - Happy path (NIT-&gt;NUIP)</t>
  </si>
  <si>
    <t>Validar la generación de intents P2B - Happy path (NIT-&gt;PPT)</t>
  </si>
  <si>
    <t>Validar la generación de intents P2B - Happy path (NIT-&gt;PAS)</t>
  </si>
  <si>
    <t>Validar la generación de intents P2B - Happy path (NIT-&gt;TDI)</t>
  </si>
  <si>
    <t>Validar la generación de intents P2B - Happy path (PEP-&gt;CC)</t>
  </si>
  <si>
    <t>Validar la generación de intents P2B - Happy path (PEP-&gt;CE)</t>
  </si>
  <si>
    <t>Validar la generación de intents P2B - Happy path (PEP-&gt;NUIP)</t>
  </si>
  <si>
    <t>Validar la generación de intents P2B - Happy path (PEP-&gt;PPT)</t>
  </si>
  <si>
    <t>Validar la generación de intents P2B - Happy path (PEP-&gt;PAS)</t>
  </si>
  <si>
    <t>Validar la generación de intents P2B - Happy path (PEP-&gt;TDI)</t>
  </si>
  <si>
    <t>Validar la generación de intents P2B - Happy path (PAS-&gt;CC)</t>
  </si>
  <si>
    <t>Validar la generación de intents P2B - Happy path (PAS-&gt;CE)</t>
  </si>
  <si>
    <t>Validar la generación de intents P2B - Happy path (PAS-&gt;NUIP)</t>
  </si>
  <si>
    <t>Validar la generación de intents P2B - Happy path (PAS-&gt;PPT)</t>
  </si>
  <si>
    <t>Validar la generación de intents P2B - Happy path (PAS-&gt;NIT)</t>
  </si>
  <si>
    <t>Validar la generación de intents P2B - Happy path (PAS-&gt;PEP)</t>
  </si>
  <si>
    <t>Validar la generación de intents P2B - Happy path (TDI-&gt;CC)</t>
  </si>
  <si>
    <t>Validar la generación de intents P2B - Happy path (TDI-&gt;CE)</t>
  </si>
  <si>
    <t>Validar la generación de intents P2B - Happy path (TDI-&gt;NUIP)</t>
  </si>
  <si>
    <t>Validar la generación de intents P2B - Happy path (TDI-&gt;PPT)</t>
  </si>
  <si>
    <t>Validar la generación de intents P2B - Happy path (TDI-&gt;NIT)</t>
  </si>
  <si>
    <t>Validar la generación de intents P2B - Happy path (TDI-&gt;PEP)</t>
  </si>
  <si>
    <t>Validar la generación de intents B2P - Happy path (CC-&gt;CE)</t>
  </si>
  <si>
    <t>Validar la generación de intents B2P - Happy path (CC-&gt;NUIP)</t>
  </si>
  <si>
    <t>Validar la generación de intents B2P - Happy path (CC-&gt;PPT)</t>
  </si>
  <si>
    <t>Validar la generación de intents B2P - Happy path (CC-&gt;NIT)</t>
  </si>
  <si>
    <t>Validar la generación de intents B2P - Happy path (CC-&gt;PEP)</t>
  </si>
  <si>
    <t>Validar la generación de intents B2P - Happy path (CC-&gt;PAS)</t>
  </si>
  <si>
    <t>Validar la generación de intents B2P - Happy path (CC-&gt;TDI)</t>
  </si>
  <si>
    <t>Validar la generación de intents B2P - Happy path (CE-&gt;CC)</t>
  </si>
  <si>
    <t>Validar la generación de intents B2P - Happy path (CE-&gt;NUIP)</t>
  </si>
  <si>
    <t>Validar la generación de intents B2P - Happy path (CE-&gt;PPT)</t>
  </si>
  <si>
    <t>Validar la generación de intents B2P - Happy path (CE-&gt;NIT)</t>
  </si>
  <si>
    <t>Validar la generación de intents B2P - Happy path (CE-&gt;PEP)</t>
  </si>
  <si>
    <t>Validar la generación de intents B2P - Happy path (CE-&gt;PAS)</t>
  </si>
  <si>
    <t>Validar la generación de intents B2P - Happy path (CE-&gt;TDI)</t>
  </si>
  <si>
    <t>Validar la generación de intents B2P - Happy path (NUIP-&gt;CC)</t>
  </si>
  <si>
    <t>Validar la generación de intents B2P - Happy path (NUIP-&gt;CE)</t>
  </si>
  <si>
    <t>Validar la generación de intents B2P - Happy path (NUIP-&gt;PPT)</t>
  </si>
  <si>
    <t>Validar la generación de intents B2P - Happy path (NUIP-&gt;NIT)</t>
  </si>
  <si>
    <t>Validar la generación de intents B2P - Happy path (NUIP-&gt;PEP)</t>
  </si>
  <si>
    <t>Validar la generación de intents B2P - Happy path (NUIP-&gt;PAS)</t>
  </si>
  <si>
    <t>Validar la generación de intents B2P - Happy path (NUIP-&gt;TDI)</t>
  </si>
  <si>
    <t>Validar la generación de intents B2P - Happy path (PPT-&gt;CC)</t>
  </si>
  <si>
    <t>Validar la generación de intents B2P - Happy path (PPT-&gt;CE)</t>
  </si>
  <si>
    <t>Validar la generación de intents B2P - Happy path (PPT-&gt;NUIP)</t>
  </si>
  <si>
    <t>Validar la generación de intents B2P - Happy path (PPT-&gt;NIT)</t>
  </si>
  <si>
    <t>Validar la generación de intents B2P - Happy path (PPT-&gt;PEP)</t>
  </si>
  <si>
    <t>Validar la generación de intents B2P - Happy path (PPT-&gt;PAS)</t>
  </si>
  <si>
    <t>Validar la generación de intents B2P - Happy path (PPT-&gt;TDI)</t>
  </si>
  <si>
    <t>Validar la generación de intents B2P - Happy path (NIT-&gt;CC)</t>
  </si>
  <si>
    <t>Validar la generación de intents B2P - Happy path (NIT-&gt;CE)</t>
  </si>
  <si>
    <t>Validar la generación de intents B2P - Happy path (NIT-&gt;NUIP)</t>
  </si>
  <si>
    <t>Validar la generación de intents B2P - Happy path (NIT-&gt;PPT)</t>
  </si>
  <si>
    <t>Validar la generación de intents B2P - Happy path (NIT-&gt;PEP)</t>
  </si>
  <si>
    <t>Validar la generación de intents B2P - Happy path (NIT-&gt;PAS)</t>
  </si>
  <si>
    <t>Validar la generación de intents B2P - Happy path (NIT-&gt;TDI)</t>
  </si>
  <si>
    <t>Validar la generación de intents B2P - Happy path (PEP-&gt;CC)</t>
  </si>
  <si>
    <t>Validar la generación de intents B2P - Happy path (PEP-&gt;CE)</t>
  </si>
  <si>
    <t>Validar la generación de intents B2P - Happy path (PEP-&gt;NUIP)</t>
  </si>
  <si>
    <t>Validar la generación de intents B2P - Happy path (PEP-&gt;PPT)</t>
  </si>
  <si>
    <t>Validar la generación de intents B2P - Happy path (PEP-&gt;NIT)</t>
  </si>
  <si>
    <t>Validar la generación de intents B2P - Happy path (PEP-&gt;PAS)</t>
  </si>
  <si>
    <t>Validar la generación de intents B2P - Happy path (PEP-&gt;TDI)</t>
  </si>
  <si>
    <t>Validar la generación de intents B2P - Happy path (PAS-&gt;CC)</t>
  </si>
  <si>
    <t>Validar la generación de intents B2P - Happy path (PAS-&gt;CE)</t>
  </si>
  <si>
    <t>Validar la generación de intents B2P - Happy path (PAS-&gt;NUIP)</t>
  </si>
  <si>
    <t>Validar la generación de intents B2P - Happy path (PAS-&gt;PPT)</t>
  </si>
  <si>
    <t>Validar la generación de intents B2P - Happy path (PAS-&gt;NIT)</t>
  </si>
  <si>
    <t>Validar la generación de intents B2P - Happy path (PAS-&gt;PEP)</t>
  </si>
  <si>
    <t>Validar la generación de intents B2P - Happy path (PAS-&gt;TDI)</t>
  </si>
  <si>
    <t>Validar la generación de intents B2P - Happy path (TDI-&gt;CC)</t>
  </si>
  <si>
    <t>Validar la generación de intents B2P - Happy path (TDI-&gt;CE)</t>
  </si>
  <si>
    <t>Validar la generación de intents B2P - Happy path (TDI-&gt;NUIP)</t>
  </si>
  <si>
    <t>Validar la generación de intents B2P - Happy path (TDI-&gt;PPT)</t>
  </si>
  <si>
    <t>Validar la generación de intents B2P - Happy path (TDI-&gt;NIT)</t>
  </si>
  <si>
    <t>Validar la generación de intents B2P - Happy path (TDI-&gt;PEP)</t>
  </si>
  <si>
    <t>Validar la generación de intents B2P - Happy path (TDI-&gt;PAS)</t>
  </si>
  <si>
    <t>Validar la generación de intents B2B - Happy path (CC-&gt;CE)</t>
  </si>
  <si>
    <t>Validar la generación de intents B2B - Happy path (CC-&gt;NUIP)</t>
  </si>
  <si>
    <t>Validar la generación de intents B2B - Happy path (CC-&gt;PPT)</t>
  </si>
  <si>
    <t>Validar la generación de intents B2B - Happy path (CC-&gt;NIT)</t>
  </si>
  <si>
    <t>Validar la generación de intents B2B - Happy path (CC-&gt;PEP)</t>
  </si>
  <si>
    <t>Validar la generación de intents B2B - Happy path (CC-&gt;PAS)</t>
  </si>
  <si>
    <t>Validar la generación de intents B2B - Happy path (CC-&gt;TDI)</t>
  </si>
  <si>
    <t>Validar la generación de intents B2B - Happy path (CE-&gt;CC)</t>
  </si>
  <si>
    <t>Validar la generación de intents B2B - Happy path (CE-&gt;NUIP)</t>
  </si>
  <si>
    <t>Validar la generación de intents B2B - Happy path (CE-&gt;PPT)</t>
  </si>
  <si>
    <t>Validar la generación de intents B2B - Happy path (CE-&gt;NIT)</t>
  </si>
  <si>
    <t>Validar la generación de intents B2B - Happy path (CE-&gt;PEP)</t>
  </si>
  <si>
    <t>Validar la generación de intents B2B - Happy path (CE-&gt;PAS)</t>
  </si>
  <si>
    <t>Validar la generación de intents B2B - Happy path (CE-&gt;TDI)</t>
  </si>
  <si>
    <t>Validar la generación de intents B2B - Happy path (NUIP-&gt;CC)</t>
  </si>
  <si>
    <t>Validar la generación de intents B2B - Happy path (NUIP-&gt;CE)</t>
  </si>
  <si>
    <t>Validar la generación de intents B2B - Happy path (NUIP-&gt;PPT)</t>
  </si>
  <si>
    <t>Validar la generación de intents B2B - Happy path (NUIP-&gt;NIT)</t>
  </si>
  <si>
    <t>Validar la generación de intents B2B - Happy path (NUIP-&gt;PEP)</t>
  </si>
  <si>
    <t>Validar la generación de intents B2B - Happy path (NUIP-&gt;PAS)</t>
  </si>
  <si>
    <t>Validar la generación de intents B2B - Happy path (NUIP-&gt;TDI)</t>
  </si>
  <si>
    <t>Validar la generación de intents B2B - Happy path (PPT-&gt;CC)</t>
  </si>
  <si>
    <t>Validar la generación de intents B2B - Happy path (PPT-&gt;CE)</t>
  </si>
  <si>
    <t>Validar la generación de intents B2B - Happy path (PPT-&gt;NUIP)</t>
  </si>
  <si>
    <t>Validar la generación de intents B2B - Happy path (PPT-&gt;NIT)</t>
  </si>
  <si>
    <t>Validar la generación de intents B2B - Happy path (PPT-&gt;PEP)</t>
  </si>
  <si>
    <t>Validar la generación de intents B2B - Happy path (PPT-&gt;PAS)</t>
  </si>
  <si>
    <t>Validar la generación de intents B2B - Happy path (PPT-&gt;TDI)</t>
  </si>
  <si>
    <t>Validar la generación de intents B2B - Happy path (NIT-&gt;CC)</t>
  </si>
  <si>
    <t>Validar la generación de intents B2B - Happy path (NIT-&gt;CE)</t>
  </si>
  <si>
    <t>Validar la generación de intents B2B - Happy path (NIT-&gt;NUIP)</t>
  </si>
  <si>
    <t>Validar la generación de intents B2B - Happy path (NIT-&gt;PPT)</t>
  </si>
  <si>
    <t>Validar la generación de intents B2B - Happy path (NIT-&gt;PEP)</t>
  </si>
  <si>
    <t>Validar la generación de intents B2B - Happy path (NIT-&gt;PAS)</t>
  </si>
  <si>
    <t>Validar la generación de intents B2B - Happy path (NIT-&gt;TDI)</t>
  </si>
  <si>
    <t>Validar la generación de intents B2B - Happy path (PEP-&gt;CC)</t>
  </si>
  <si>
    <t>Validar la generación de intents B2B - Happy path (PEP-&gt;CE)</t>
  </si>
  <si>
    <t>Validar la generación de intents B2B - Happy path (PEP-&gt;NUIP)</t>
  </si>
  <si>
    <t>Validar la generación de intents B2B - Happy path (PEP-&gt;PPT)</t>
  </si>
  <si>
    <t>Validar la generación de intents B2B - Happy path (PEP-&gt;NIT)</t>
  </si>
  <si>
    <t>Validar la generación de intents B2B - Happy path (PEP-&gt;PAS)</t>
  </si>
  <si>
    <t>Validar la generación de intents B2B - Happy path (PEP-&gt;TDI)</t>
  </si>
  <si>
    <t>Validar la generación de intents B2B - Happy path (PAS-&gt;CC)</t>
  </si>
  <si>
    <t>Validar la generación de intents B2B - Happy path (PAS-&gt;CE)</t>
  </si>
  <si>
    <t>Validar la generación de intents B2B - Happy path (PAS-&gt;NUIP)</t>
  </si>
  <si>
    <t>Validar la generación de intents B2B - Happy path (PAS-&gt;PPT)</t>
  </si>
  <si>
    <t>Validar la generación de intents B2B - Happy path (PAS-&gt;NIT)</t>
  </si>
  <si>
    <t>Validar la generación de intents B2B - Happy path (PAS-&gt;PEP)</t>
  </si>
  <si>
    <t>Validar la generación de intents B2B - Happy path (PAS-&gt;TDI)</t>
  </si>
  <si>
    <t>Validar la generación de intents B2B - Happy path (TDI-&gt;CC)</t>
  </si>
  <si>
    <t>Validar la generación de intents B2B - Happy path (TDI-&gt;CE)</t>
  </si>
  <si>
    <t>Validar la generación de intents B2B - Happy path (TDI-&gt;NUIP)</t>
  </si>
  <si>
    <t>Validar la generación de intents B2B - Happy path (TDI-&gt;PPT)</t>
  </si>
  <si>
    <t>Validar la generación de intents B2B - Happy path (TDI-&gt;NIT)</t>
  </si>
  <si>
    <t>Validar la generación de intents B2B - Happy path (TDI-&gt;PEP)</t>
  </si>
  <si>
    <t>Validar la generación de intents B2B - Happy path (TDI-&gt;PAS)</t>
  </si>
  <si>
    <t>Validar la generación de intents P2P - Happy path (CAHO a CCTE)</t>
  </si>
  <si>
    <t>Validar la generación de intents P2P - Happy path (CAHO a DBMO)</t>
  </si>
  <si>
    <t>Validar la generación de intents P2P - Happy path (CAHO a DORD)</t>
  </si>
  <si>
    <t>Validar la generación de intents P2P - Happy path (CAHO a DBMI)</t>
  </si>
  <si>
    <t>Validar la generación de intents P2P - Happy path (CCTE a CAHO)</t>
  </si>
  <si>
    <t>Validar la generación de intents P2P - Happy path (CCTE a DBMO)</t>
  </si>
  <si>
    <t>Validar la generación de intents P2P - Happy path (CCTE a DORD)</t>
  </si>
  <si>
    <t>Validar la generación de intents P2P - Happy path (CCTE a DBMI)</t>
  </si>
  <si>
    <t>Validar la generación de intents P2P - Happy path (DBMO a CAHO)</t>
  </si>
  <si>
    <t>Validar la generación de intents P2P - Happy path (DBMO a CCTE)</t>
  </si>
  <si>
    <t>Validar la generación de intents P2P - Happy path (DBMO a DORD)</t>
  </si>
  <si>
    <t>Validar la generación de intents P2P - Happy path (DBMO a DBMI)</t>
  </si>
  <si>
    <t>Validar la generación de intents P2P - Happy path (DORD a CAHO)</t>
  </si>
  <si>
    <t>Validar la generación de intents P2P - Happy path (DORD a CCTE)</t>
  </si>
  <si>
    <t>Validar la generación de intents P2P - Happy path (DORD a DBMO)</t>
  </si>
  <si>
    <t>Validar la generación de intents P2P - Happy path (DORD a DBMI)</t>
  </si>
  <si>
    <t>Validar la generación de intents P2P - Happy path (DBMI a CAHO)</t>
  </si>
  <si>
    <t>Validar la generación de intents P2P - Happy path (DBMI a CCTE)</t>
  </si>
  <si>
    <t>Validar la generación de intents P2P - Happy path (DBMI a DBMO)</t>
  </si>
  <si>
    <t>Validar la generación de intents P2P - Happy path (DBMI a DORD)</t>
  </si>
  <si>
    <t>Validar la generación de intents P2B - Happy path (CAHO a CCTE)</t>
  </si>
  <si>
    <t>Validar la generación de intents P2B - Happy path (CAHO a DBMO)</t>
  </si>
  <si>
    <t>Validar la generación de intents P2B - Happy path (CAHO a DORD)</t>
  </si>
  <si>
    <t>Validar la generación de intents P2B - Happy path (CAHO a DBMI)</t>
  </si>
  <si>
    <t>Validar la generación de intents P2B - Happy path (CCTE a CAHO)</t>
  </si>
  <si>
    <t>Validar la generación de intents P2B - Happy path (CCTE a DBMO)</t>
  </si>
  <si>
    <t>Validar la generación de intents P2B - Happy path (CCTE a DORD)</t>
  </si>
  <si>
    <t>Validar la generación de intents P2B - Happy path (CCTE a DBMI)</t>
  </si>
  <si>
    <t>Validar la generación de intents P2B - Happy path (DBMO a CAHO)</t>
  </si>
  <si>
    <t>Validar la generación de intents P2B - Happy path (DBMO a CCTE)</t>
  </si>
  <si>
    <t>Validar la generación de intents P2B - Happy path (DBMO a DORD)</t>
  </si>
  <si>
    <t>Validar la generación de intents P2B - Happy path (DBMO a DBMI)</t>
  </si>
  <si>
    <t>Validar la generación de intents P2B - Happy path (DORD a CAHO)</t>
  </si>
  <si>
    <t>Validar la generación de intents P2B - Happy path (DORD a CCTE)</t>
  </si>
  <si>
    <t>Validar la generación de intents P2B - Happy path (DORD a DBMO)</t>
  </si>
  <si>
    <t>Validar la generación de intents P2B - Happy path (DORD a DBMI)</t>
  </si>
  <si>
    <t>Validar la generación de intents P2B - Happy path (DBMI a CAHO)</t>
  </si>
  <si>
    <t>Validar la generación de intents P2B - Happy path (DBMI a CCTE)</t>
  </si>
  <si>
    <t>Validar la generación de intents P2B - Happy path (DBMI a DBMO)</t>
  </si>
  <si>
    <t>Validar la generación de intents P2B - Happy path (DBMI a DORD)</t>
  </si>
  <si>
    <t>Validar la generación de intents B2P - Happy path (CAHO a CCTE)</t>
  </si>
  <si>
    <t>Validar la generación de intents B2P - Happy path (CAHO a DBMO)</t>
  </si>
  <si>
    <t>Validar la generación de intents B2P - Happy path (CAHO a DORD)</t>
  </si>
  <si>
    <t>Validar la generación de intents B2P - Happy path (CAHO a DBMI)</t>
  </si>
  <si>
    <t>Validar la generación de intents B2P - Happy path (CCTE a CAHO)</t>
  </si>
  <si>
    <t>Validar la generación de intents B2P - Happy path (CCTE a DBMO)</t>
  </si>
  <si>
    <t>Validar la generación de intents B2P - Happy path (CCTE a DORD)</t>
  </si>
  <si>
    <t>Validar la generación de intents B2P - Happy path (CCTE a DBMI)</t>
  </si>
  <si>
    <t>Validar la generación de intents B2P - Happy path (DBMO a CAHO)</t>
  </si>
  <si>
    <t>Validar la generación de intents B2P - Happy path (DBMO a CCTE)</t>
  </si>
  <si>
    <t>Validar la generación de intents B2P - Happy path (DBMO a DORD)</t>
  </si>
  <si>
    <t>Validar la generación de intents B2P - Happy path (DBMO a DBMI)</t>
  </si>
  <si>
    <t>Validar la generación de intents B2P - Happy path (DORD a CAHO)</t>
  </si>
  <si>
    <t>Validar la generación de intents B2P - Happy path (DORD a CCTE)</t>
  </si>
  <si>
    <t>Validar la generación de intents B2P - Happy path (DORD a DBMO)</t>
  </si>
  <si>
    <t>Validar la generación de intents B2P - Happy path (DORD a DBMI)</t>
  </si>
  <si>
    <t>Validar la generación de intents B2P - Happy path (DBMI a CAHO)</t>
  </si>
  <si>
    <t>Validar la generación de intents B2P - Happy path (DBMI a CCTE)</t>
  </si>
  <si>
    <t>Validar la generación de intents B2P - Happy path (DBMI a DBMO)</t>
  </si>
  <si>
    <t>Validar la generación de intents B2P - Happy path (DBMI a DORD)</t>
  </si>
  <si>
    <t>Validar la generación de intents B2B - Happy path (CAHO a CCTE)</t>
  </si>
  <si>
    <t>Validar la generación de intents B2B - Happy path (CAHO a DBMO)</t>
  </si>
  <si>
    <t>Validar la generación de intents B2B - Happy path (CAHO a DORD)</t>
  </si>
  <si>
    <t>Validar la generación de intents B2B - Happy path (CAHO a DBMI)</t>
  </si>
  <si>
    <t>Validar la generación de intents B2B - Happy path (CCTE a CAHO)</t>
  </si>
  <si>
    <t>Validar la generación de intents B2B - Happy path (CCTE a DBMO)</t>
  </si>
  <si>
    <t>Validar la generación de intents B2B - Happy path (CCTE a DORD)</t>
  </si>
  <si>
    <t>Validar la generación de intents B2B - Happy path (CCTE a DBMI)</t>
  </si>
  <si>
    <t>Validar la generación de intents B2B - Happy path (DBMO a CAHO)</t>
  </si>
  <si>
    <t>Validar la generación de intents B2B - Happy path (DBMO a CCTE)</t>
  </si>
  <si>
    <t>Validar la generación de intents B2B - Happy path (DBMO a DORD)</t>
  </si>
  <si>
    <t>Validar la generación de intents B2B - Happy path (DBMO a DBMI)</t>
  </si>
  <si>
    <t>Validar la generación de intents B2B - Happy path (DORD a CAHO)</t>
  </si>
  <si>
    <t>Validar la generación de intents B2B - Happy path (DORD a CCTE)</t>
  </si>
  <si>
    <t>Validar la generación de intents B2B - Happy path (DORD a DBMO)</t>
  </si>
  <si>
    <t>Validar la generación de intents B2B - Happy path (DORD a DBMI)</t>
  </si>
  <si>
    <t>Validar la generación de intents B2B - Happy path (DBMI a CAHO)</t>
  </si>
  <si>
    <t>Validar la generación de intents B2B - Happy path (DBMI a CCTE)</t>
  </si>
  <si>
    <t>Validar la generación de intents B2B - Happy path (DBMI a DBMO)</t>
  </si>
  <si>
    <t>Validar la generación de intents B2B - Happy path (DBMI a DORD)</t>
  </si>
  <si>
    <t>CP111</t>
  </si>
  <si>
    <t>CP112</t>
  </si>
  <si>
    <t>CP113</t>
  </si>
  <si>
    <t>CP114</t>
  </si>
  <si>
    <t>CP115</t>
  </si>
  <si>
    <t>CP116</t>
  </si>
  <si>
    <t>CP117</t>
  </si>
  <si>
    <t>CP118</t>
  </si>
  <si>
    <t>CP119</t>
  </si>
  <si>
    <t>CP120</t>
  </si>
  <si>
    <t>CP121</t>
  </si>
  <si>
    <t>CP122</t>
  </si>
  <si>
    <t>CP123</t>
  </si>
  <si>
    <t>CP124</t>
  </si>
  <si>
    <t>CP125</t>
  </si>
  <si>
    <t>CP126</t>
  </si>
  <si>
    <t>CP127</t>
  </si>
  <si>
    <t>CP128</t>
  </si>
  <si>
    <t>CP129</t>
  </si>
  <si>
    <t>CP130</t>
  </si>
  <si>
    <t>CP131</t>
  </si>
  <si>
    <t>CP132</t>
  </si>
  <si>
    <t>CP133</t>
  </si>
  <si>
    <t>CP134</t>
  </si>
  <si>
    <t>CP135</t>
  </si>
  <si>
    <t>CP136</t>
  </si>
  <si>
    <t>CP137</t>
  </si>
  <si>
    <t>CP138</t>
  </si>
  <si>
    <t>CP139</t>
  </si>
  <si>
    <t>CP140</t>
  </si>
  <si>
    <t>CP141</t>
  </si>
  <si>
    <t>CP142</t>
  </si>
  <si>
    <t>CP143</t>
  </si>
  <si>
    <t>CP144</t>
  </si>
  <si>
    <t>CP145</t>
  </si>
  <si>
    <t>CP146</t>
  </si>
  <si>
    <t>CP151</t>
  </si>
  <si>
    <t>CP152</t>
  </si>
  <si>
    <t>CP153</t>
  </si>
  <si>
    <t>CP154</t>
  </si>
  <si>
    <t>CP155</t>
  </si>
  <si>
    <t>CP156</t>
  </si>
  <si>
    <t>CP157</t>
  </si>
  <si>
    <t>CP158</t>
  </si>
  <si>
    <t>CP159</t>
  </si>
  <si>
    <t>CP160</t>
  </si>
  <si>
    <t>CP161</t>
  </si>
  <si>
    <t>CP162</t>
  </si>
  <si>
    <t>CP163</t>
  </si>
  <si>
    <t>CP164</t>
  </si>
  <si>
    <t>CP165</t>
  </si>
  <si>
    <t>CP166</t>
  </si>
  <si>
    <t>CP167</t>
  </si>
  <si>
    <t>CP168</t>
  </si>
  <si>
    <t>CP169</t>
  </si>
  <si>
    <t>CP170</t>
  </si>
  <si>
    <t>CP171</t>
  </si>
  <si>
    <t>CP172</t>
  </si>
  <si>
    <t>CP205</t>
  </si>
  <si>
    <t>CP206</t>
  </si>
  <si>
    <t>CP207</t>
  </si>
  <si>
    <t>CP208</t>
  </si>
  <si>
    <t>CP209</t>
  </si>
  <si>
    <t>CP210</t>
  </si>
  <si>
    <t>CP211</t>
  </si>
  <si>
    <t>CP212</t>
  </si>
  <si>
    <t>CP213</t>
  </si>
  <si>
    <t>CP214</t>
  </si>
  <si>
    <t>CP215</t>
  </si>
  <si>
    <t>CP216</t>
  </si>
  <si>
    <t>CP217</t>
  </si>
  <si>
    <t>CP218</t>
  </si>
  <si>
    <t>CP219</t>
  </si>
  <si>
    <t>CP220</t>
  </si>
  <si>
    <t>CP221</t>
  </si>
  <si>
    <t>CP222</t>
  </si>
  <si>
    <t>CP223</t>
  </si>
  <si>
    <t>CP224</t>
  </si>
  <si>
    <t>CP225</t>
  </si>
  <si>
    <t>CP226</t>
  </si>
  <si>
    <t>CP227</t>
  </si>
  <si>
    <t>CP228</t>
  </si>
  <si>
    <t>CP229</t>
  </si>
  <si>
    <t>CP230</t>
  </si>
  <si>
    <t>CP231</t>
  </si>
  <si>
    <t>CP232</t>
  </si>
  <si>
    <t>CP233</t>
  </si>
  <si>
    <t>CP234</t>
  </si>
  <si>
    <t>CP235</t>
  </si>
  <si>
    <t>CP236</t>
  </si>
  <si>
    <t>CP237</t>
  </si>
  <si>
    <t>CP238</t>
  </si>
  <si>
    <t>CP239</t>
  </si>
  <si>
    <t>CP240</t>
  </si>
  <si>
    <t>CP241</t>
  </si>
  <si>
    <t>CP242</t>
  </si>
  <si>
    <t>CP243</t>
  </si>
  <si>
    <t>CP244</t>
  </si>
  <si>
    <t>CP245</t>
  </si>
  <si>
    <t>CP246</t>
  </si>
  <si>
    <t>CP247</t>
  </si>
  <si>
    <t>CP248</t>
  </si>
  <si>
    <t>CP249</t>
  </si>
  <si>
    <t>CP250</t>
  </si>
  <si>
    <t>CP251</t>
  </si>
  <si>
    <t>CP252</t>
  </si>
  <si>
    <t>CP253</t>
  </si>
  <si>
    <t>CP254</t>
  </si>
  <si>
    <t>CP255</t>
  </si>
  <si>
    <t>CP256</t>
  </si>
  <si>
    <t>CP257</t>
  </si>
  <si>
    <t>CP258</t>
  </si>
  <si>
    <t>CP259</t>
  </si>
  <si>
    <t>CP260</t>
  </si>
  <si>
    <t>CP261</t>
  </si>
  <si>
    <t>CP262</t>
  </si>
  <si>
    <t>CP263</t>
  </si>
  <si>
    <t>CP264</t>
  </si>
  <si>
    <t>CP265</t>
  </si>
  <si>
    <t>CP266</t>
  </si>
  <si>
    <t>CP267</t>
  </si>
  <si>
    <t>CP268</t>
  </si>
  <si>
    <t>CP269</t>
  </si>
  <si>
    <t>CP270</t>
  </si>
  <si>
    <t>CP271</t>
  </si>
  <si>
    <t>CP272</t>
  </si>
  <si>
    <t>CP273</t>
  </si>
  <si>
    <t>CP274</t>
  </si>
  <si>
    <t>CP275</t>
  </si>
  <si>
    <t>CP276</t>
  </si>
  <si>
    <t>CP277</t>
  </si>
  <si>
    <t>CP278</t>
  </si>
  <si>
    <t>CP279</t>
  </si>
  <si>
    <t>CP280</t>
  </si>
  <si>
    <t>CP281</t>
  </si>
  <si>
    <t>CP282</t>
  </si>
  <si>
    <t>CP283</t>
  </si>
  <si>
    <t>CP284</t>
  </si>
  <si>
    <t>CP285</t>
  </si>
  <si>
    <t>CP286</t>
  </si>
  <si>
    <t>CP287</t>
  </si>
  <si>
    <t>CP288</t>
  </si>
  <si>
    <t>CP289</t>
  </si>
  <si>
    <t>CP290</t>
  </si>
  <si>
    <t>CP291</t>
  </si>
  <si>
    <t>CP292</t>
  </si>
  <si>
    <t>CP293</t>
  </si>
  <si>
    <t>CP294</t>
  </si>
  <si>
    <t>CP295</t>
  </si>
  <si>
    <t>CP296</t>
  </si>
  <si>
    <t>CP297</t>
  </si>
  <si>
    <t>CP298</t>
  </si>
  <si>
    <t>CP299</t>
  </si>
  <si>
    <t>CP300</t>
  </si>
  <si>
    <t>CP301</t>
  </si>
  <si>
    <t>CP302</t>
  </si>
  <si>
    <t>CP303</t>
  </si>
  <si>
    <t>CP304</t>
  </si>
  <si>
    <t>CP305</t>
  </si>
  <si>
    <t>CP306</t>
  </si>
  <si>
    <t>CP307</t>
  </si>
  <si>
    <t>CP308</t>
  </si>
  <si>
    <t>CP309</t>
  </si>
  <si>
    <t>CP310</t>
  </si>
  <si>
    <t>CP311</t>
  </si>
  <si>
    <t>CP312</t>
  </si>
  <si>
    <t>CP313</t>
  </si>
  <si>
    <t>CP314</t>
  </si>
  <si>
    <t>CP315</t>
  </si>
  <si>
    <t>CP316</t>
  </si>
  <si>
    <t>CP317</t>
  </si>
  <si>
    <t>CP318</t>
  </si>
  <si>
    <t>CP319</t>
  </si>
  <si>
    <t>CP320</t>
  </si>
  <si>
    <t>CP321</t>
  </si>
  <si>
    <t>CP322</t>
  </si>
  <si>
    <t>CP323</t>
  </si>
  <si>
    <t>CP324</t>
  </si>
  <si>
    <t>CP325</t>
  </si>
  <si>
    <t>CP326</t>
  </si>
  <si>
    <t>CP327</t>
  </si>
  <si>
    <t>CP328</t>
  </si>
  <si>
    <t>CP329</t>
  </si>
  <si>
    <t>CP330</t>
  </si>
  <si>
    <t>CP331</t>
  </si>
  <si>
    <t>CP332</t>
  </si>
  <si>
    <t>CP333</t>
  </si>
  <si>
    <t>CP334</t>
  </si>
  <si>
    <t>CP335</t>
  </si>
  <si>
    <t>CP341</t>
  </si>
  <si>
    <t>CP342</t>
  </si>
  <si>
    <t>CP343</t>
  </si>
  <si>
    <t>CP344</t>
  </si>
  <si>
    <t>CP345</t>
  </si>
  <si>
    <t>CP346</t>
  </si>
  <si>
    <t>CP347</t>
  </si>
  <si>
    <t>CP348</t>
  </si>
  <si>
    <t>CP349</t>
  </si>
  <si>
    <t>CP350</t>
  </si>
  <si>
    <t>CP351</t>
  </si>
  <si>
    <t>CP352</t>
  </si>
  <si>
    <t>CP353</t>
  </si>
  <si>
    <t>CP354</t>
  </si>
  <si>
    <t>CP355</t>
  </si>
  <si>
    <t>CP356</t>
  </si>
  <si>
    <t>CP357</t>
  </si>
  <si>
    <t>CP358</t>
  </si>
  <si>
    <t>CP359</t>
  </si>
  <si>
    <t>CP365</t>
  </si>
  <si>
    <t>CP366</t>
  </si>
  <si>
    <t>CP367</t>
  </si>
  <si>
    <t>CP368</t>
  </si>
  <si>
    <t>CP369</t>
  </si>
  <si>
    <t>CP370</t>
  </si>
  <si>
    <t>CP371</t>
  </si>
  <si>
    <t>CP372</t>
  </si>
  <si>
    <t>CP373</t>
  </si>
  <si>
    <t>CP374</t>
  </si>
  <si>
    <t>CP375</t>
  </si>
  <si>
    <t>CP376</t>
  </si>
  <si>
    <t>CP377</t>
  </si>
  <si>
    <t>CP378</t>
  </si>
  <si>
    <t>CP379</t>
  </si>
  <si>
    <t>CP380</t>
  </si>
  <si>
    <t>CP381</t>
  </si>
  <si>
    <t>CP382</t>
  </si>
  <si>
    <t>CP383</t>
  </si>
  <si>
    <t>CP384</t>
  </si>
  <si>
    <t>CP385</t>
  </si>
  <si>
    <t>CP386</t>
  </si>
  <si>
    <t>CP387</t>
  </si>
  <si>
    <t>CP388</t>
  </si>
  <si>
    <t>CP389</t>
  </si>
  <si>
    <t>CP390</t>
  </si>
  <si>
    <t>CP391</t>
  </si>
  <si>
    <t>CP392</t>
  </si>
  <si>
    <t>CP393</t>
  </si>
  <si>
    <t>CP394</t>
  </si>
  <si>
    <t>CP395</t>
  </si>
  <si>
    <t>CP396</t>
  </si>
  <si>
    <t>CP397</t>
  </si>
  <si>
    <t>CP398</t>
  </si>
  <si>
    <t>CP399</t>
  </si>
  <si>
    <t>CP400</t>
  </si>
  <si>
    <t>CP401</t>
  </si>
  <si>
    <t>CP402</t>
  </si>
  <si>
    <t>CP403</t>
  </si>
  <si>
    <t>CP404</t>
  </si>
  <si>
    <t>CP405</t>
  </si>
  <si>
    <t>CP406</t>
  </si>
  <si>
    <t>CP407</t>
  </si>
  <si>
    <t>CP408</t>
  </si>
  <si>
    <t>CP409</t>
  </si>
  <si>
    <t>CP410</t>
  </si>
  <si>
    <t>CP411</t>
  </si>
  <si>
    <t>CP412</t>
  </si>
  <si>
    <t>CP413</t>
  </si>
  <si>
    <t>CP414</t>
  </si>
  <si>
    <t>CP415</t>
  </si>
  <si>
    <t>CP416</t>
  </si>
  <si>
    <t>CP417</t>
  </si>
  <si>
    <t>CP418</t>
  </si>
  <si>
    <t>CP419</t>
  </si>
  <si>
    <t>CP420</t>
  </si>
  <si>
    <t>CP421</t>
  </si>
  <si>
    <t>CP422</t>
  </si>
  <si>
    <t>CP423</t>
  </si>
  <si>
    <t>CP424</t>
  </si>
  <si>
    <t>CP425</t>
  </si>
  <si>
    <t>CP426</t>
  </si>
  <si>
    <t>CP427</t>
  </si>
  <si>
    <t>CP428</t>
  </si>
  <si>
    <t>CP429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</si>
</sst>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2"/>
      <name val="Calibri"/>
      <family val="2"/>
      <scheme val="minor"/>
    </font>
    <font>
      <sz val="10"/>
      <color theme="2"/>
      <name val="Calibri"/>
      <family val="2"/>
      <scheme val="minor"/>
    </font>
    <font>
      <b/>
      <sz val="10"/>
      <color theme="2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theme="0" tint="-0.14999847407452621"/>
      <name val="Arial"/>
      <family val="2"/>
    </font>
    <font>
      <sz val="8"/>
      <color theme="0" tint="-0.14999847407452621"/>
      <name val="Arial"/>
      <family val="2"/>
    </font>
    <font>
      <i/>
      <sz val="10"/>
      <color theme="1"/>
      <name val="Arial"/>
      <family val="2"/>
    </font>
    <font>
      <b/>
      <sz val="10"/>
      <color rgb="FFFFFFFF"/>
      <name val="Arial"/>
      <family val="2"/>
    </font>
    <font>
      <b/>
      <sz val="10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9"/>
      <color theme="0"/>
      <name val="Arial"/>
      <family val="2"/>
    </font>
    <font>
      <sz val="8"/>
      <name val="Calibri"/>
      <family val="2"/>
      <scheme val="minor"/>
    </font>
    <font>
      <b/>
      <sz val="9"/>
      <color theme="1" tint="4.9989318521683403E-2"/>
      <name val="Arial"/>
      <family val="2"/>
    </font>
    <font>
      <b/>
      <sz val="9"/>
      <color theme="4" tint="-0.249977111117893"/>
      <name val="Arial"/>
      <family val="2"/>
    </font>
    <font>
      <sz val="10"/>
      <color theme="1" tint="0.249977111117893"/>
      <name val="Calibri"/>
      <family val="2"/>
      <scheme val="minor"/>
    </font>
    <font>
      <sz val="8"/>
      <color theme="0"/>
      <name val="Arial"/>
      <family val="2"/>
    </font>
    <font>
      <sz val="11"/>
      <color theme="0"/>
      <name val="Calibri"/>
      <family val="2"/>
      <scheme val="minor"/>
    </font>
    <font>
      <b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u/>
      <sz val="9"/>
      <name val="Arial"/>
      <family val="2"/>
    </font>
    <font>
      <b/>
      <u/>
      <sz val="12"/>
      <name val="Arial"/>
      <family val="2"/>
    </font>
    <font>
      <sz val="11"/>
      <color theme="1"/>
      <name val="Segoe UI"/>
      <family val="2"/>
    </font>
    <font>
      <sz val="11"/>
      <color rgb="FFFF0000"/>
      <name val="Segoe UI"/>
      <family val="2"/>
    </font>
    <font>
      <sz val="11"/>
      <name val="Segoe UI"/>
      <family val="2"/>
    </font>
  </fonts>
  <fills count="3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8000"/>
        <bgColor rgb="FF008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 tint="0.79998168889431442"/>
        <bgColor indexed="64"/>
      </patternFill>
    </fill>
  </fills>
  <borders count="7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</borders>
  <cellStyleXfs count="6">
    <xf numFmtId="0" fontId="0" fillId="0" borderId="0"/>
    <xf numFmtId="0" fontId="6" fillId="0" borderId="0" applyNumberFormat="0" applyFill="0" applyBorder="0" applyAlignment="0" applyProtection="0"/>
    <xf numFmtId="0" fontId="7" fillId="0" borderId="0"/>
    <xf numFmtId="0" fontId="31" fillId="0" borderId="0"/>
    <xf numFmtId="0" fontId="27" fillId="0" borderId="0"/>
    <xf numFmtId="0" fontId="17" fillId="0" borderId="0"/>
  </cellStyleXfs>
  <cellXfs count="548">
    <xf numFmtId="0" fontId="0" fillId="0" borderId="0" xfId="0"/>
    <xf numFmtId="0" fontId="10" fillId="0" borderId="0" xfId="0" applyFont="1"/>
    <xf numFmtId="0" fontId="10" fillId="0" borderId="1" xfId="0" applyFont="1" applyBorder="1"/>
    <xf numFmtId="0" fontId="10" fillId="0" borderId="1" xfId="0" applyFont="1" applyBorder="1" applyAlignment="1">
      <alignment horizontal="center"/>
    </xf>
    <xf numFmtId="14" fontId="10" fillId="0" borderId="1" xfId="0" applyNumberFormat="1" applyFont="1" applyBorder="1" applyAlignment="1">
      <alignment horizontal="center"/>
    </xf>
    <xf numFmtId="0" fontId="0" fillId="5" borderId="0" xfId="0" applyFill="1"/>
    <xf numFmtId="0" fontId="0" fillId="0" borderId="9" xfId="0" applyBorder="1"/>
    <xf numFmtId="0" fontId="0" fillId="0" borderId="12" xfId="0" applyBorder="1"/>
    <xf numFmtId="0" fontId="0" fillId="0" borderId="16" xfId="0" applyBorder="1"/>
    <xf numFmtId="0" fontId="0" fillId="0" borderId="0" xfId="0" applyAlignment="1">
      <alignment horizontal="center"/>
    </xf>
    <xf numFmtId="0" fontId="4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0" fontId="8" fillId="9" borderId="4" xfId="2" applyFont="1" applyFill="1" applyBorder="1"/>
    <xf numFmtId="0" fontId="8" fillId="3" borderId="4" xfId="2" applyFont="1" applyFill="1" applyBorder="1"/>
    <xf numFmtId="0" fontId="8" fillId="9" borderId="6" xfId="2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/>
    <xf numFmtId="0" fontId="19" fillId="3" borderId="7" xfId="0" applyFont="1" applyFill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3" fillId="5" borderId="7" xfId="0" applyFont="1" applyFill="1" applyBorder="1" applyAlignment="1">
      <alignment horizontal="center"/>
    </xf>
    <xf numFmtId="0" fontId="13" fillId="5" borderId="2" xfId="0" applyFont="1" applyFill="1" applyBorder="1" applyAlignment="1">
      <alignment horizontal="center"/>
    </xf>
    <xf numFmtId="0" fontId="13" fillId="5" borderId="3" xfId="0" applyFont="1" applyFill="1" applyBorder="1" applyAlignment="1">
      <alignment horizontal="center"/>
    </xf>
    <xf numFmtId="0" fontId="20" fillId="5" borderId="7" xfId="0" applyFont="1" applyFill="1" applyBorder="1" applyAlignment="1">
      <alignment horizontal="center" vertical="center" wrapText="1"/>
    </xf>
    <xf numFmtId="0" fontId="10" fillId="0" borderId="0" xfId="0" applyFont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1" fontId="9" fillId="0" borderId="0" xfId="2" applyNumberFormat="1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right"/>
      <protection locked="0"/>
    </xf>
    <xf numFmtId="164" fontId="10" fillId="0" borderId="0" xfId="0" applyNumberFormat="1" applyFont="1" applyProtection="1">
      <protection locked="0"/>
    </xf>
    <xf numFmtId="0" fontId="13" fillId="13" borderId="1" xfId="0" applyFont="1" applyFill="1" applyBorder="1" applyAlignment="1">
      <alignment horizontal="left"/>
    </xf>
    <xf numFmtId="0" fontId="13" fillId="13" borderId="7" xfId="0" applyFont="1" applyFill="1" applyBorder="1" applyAlignment="1">
      <alignment horizontal="center"/>
    </xf>
    <xf numFmtId="0" fontId="18" fillId="14" borderId="1" xfId="0" applyFont="1" applyFill="1" applyBorder="1" applyAlignment="1">
      <alignment horizontal="left" wrapText="1"/>
    </xf>
    <xf numFmtId="0" fontId="13" fillId="14" borderId="1" xfId="0" applyFont="1" applyFill="1" applyBorder="1" applyAlignment="1">
      <alignment horizontal="right"/>
    </xf>
    <xf numFmtId="0" fontId="13" fillId="14" borderId="3" xfId="0" applyFont="1" applyFill="1" applyBorder="1" applyAlignment="1">
      <alignment horizontal="right"/>
    </xf>
    <xf numFmtId="0" fontId="21" fillId="14" borderId="3" xfId="0" applyFont="1" applyFill="1" applyBorder="1" applyAlignment="1">
      <alignment horizontal="center" vertical="center" wrapText="1"/>
    </xf>
    <xf numFmtId="0" fontId="18" fillId="15" borderId="1" xfId="0" applyFont="1" applyFill="1" applyBorder="1" applyAlignment="1">
      <alignment horizontal="left" wrapText="1"/>
    </xf>
    <xf numFmtId="0" fontId="13" fillId="15" borderId="3" xfId="0" applyFont="1" applyFill="1" applyBorder="1" applyAlignment="1">
      <alignment horizontal="right"/>
    </xf>
    <xf numFmtId="0" fontId="13" fillId="10" borderId="1" xfId="0" applyFont="1" applyFill="1" applyBorder="1" applyAlignment="1">
      <alignment horizontal="left"/>
    </xf>
    <xf numFmtId="0" fontId="13" fillId="10" borderId="7" xfId="0" applyFont="1" applyFill="1" applyBorder="1" applyAlignment="1">
      <alignment horizontal="center"/>
    </xf>
    <xf numFmtId="0" fontId="18" fillId="12" borderId="1" xfId="0" applyFont="1" applyFill="1" applyBorder="1" applyAlignment="1">
      <alignment horizontal="left" wrapText="1"/>
    </xf>
    <xf numFmtId="0" fontId="13" fillId="12" borderId="1" xfId="0" applyFont="1" applyFill="1" applyBorder="1" applyAlignment="1">
      <alignment vertical="center"/>
    </xf>
    <xf numFmtId="0" fontId="15" fillId="12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right"/>
    </xf>
    <xf numFmtId="0" fontId="13" fillId="7" borderId="1" xfId="0" applyFont="1" applyFill="1" applyBorder="1" applyAlignment="1">
      <alignment horizontal="left"/>
    </xf>
    <xf numFmtId="0" fontId="13" fillId="7" borderId="7" xfId="0" applyFont="1" applyFill="1" applyBorder="1" applyAlignment="1">
      <alignment horizontal="right"/>
    </xf>
    <xf numFmtId="0" fontId="13" fillId="10" borderId="6" xfId="0" applyFont="1" applyFill="1" applyBorder="1"/>
    <xf numFmtId="0" fontId="13" fillId="13" borderId="1" xfId="0" applyFont="1" applyFill="1" applyBorder="1"/>
    <xf numFmtId="0" fontId="13" fillId="15" borderId="1" xfId="0" applyFont="1" applyFill="1" applyBorder="1"/>
    <xf numFmtId="0" fontId="8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64" fontId="0" fillId="17" borderId="1" xfId="0" applyNumberFormat="1" applyFill="1" applyBorder="1"/>
    <xf numFmtId="0" fontId="0" fillId="18" borderId="1" xfId="0" applyFill="1" applyBorder="1" applyAlignment="1">
      <alignment horizontal="center"/>
    </xf>
    <xf numFmtId="0" fontId="12" fillId="18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0" fillId="19" borderId="1" xfId="0" applyFill="1" applyBorder="1"/>
    <xf numFmtId="0" fontId="23" fillId="5" borderId="0" xfId="0" applyFont="1" applyFill="1" applyAlignment="1">
      <alignment horizontal="left" wrapText="1"/>
    </xf>
    <xf numFmtId="0" fontId="24" fillId="5" borderId="0" xfId="0" applyFont="1" applyFill="1" applyAlignment="1">
      <alignment horizontal="right"/>
    </xf>
    <xf numFmtId="0" fontId="24" fillId="5" borderId="0" xfId="0" applyFont="1" applyFill="1" applyAlignment="1">
      <alignment horizontal="center"/>
    </xf>
    <xf numFmtId="0" fontId="24" fillId="5" borderId="0" xfId="0" applyFont="1" applyFill="1"/>
    <xf numFmtId="0" fontId="25" fillId="5" borderId="0" xfId="0" applyFont="1" applyFill="1" applyAlignment="1">
      <alignment horizontal="center" vertical="center"/>
    </xf>
    <xf numFmtId="0" fontId="18" fillId="16" borderId="11" xfId="0" applyFont="1" applyFill="1" applyBorder="1" applyAlignment="1">
      <alignment horizontal="left" vertical="center" wrapText="1"/>
    </xf>
    <xf numFmtId="0" fontId="0" fillId="16" borderId="7" xfId="0" applyFill="1" applyBorder="1"/>
    <xf numFmtId="0" fontId="15" fillId="16" borderId="7" xfId="0" applyFont="1" applyFill="1" applyBorder="1" applyAlignment="1">
      <alignment horizontal="center" vertical="center"/>
    </xf>
    <xf numFmtId="164" fontId="0" fillId="17" borderId="7" xfId="0" applyNumberFormat="1" applyFill="1" applyBorder="1"/>
    <xf numFmtId="164" fontId="22" fillId="5" borderId="3" xfId="0" applyNumberFormat="1" applyFont="1" applyFill="1" applyBorder="1"/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5" borderId="2" xfId="0" applyFill="1" applyBorder="1"/>
    <xf numFmtId="164" fontId="0" fillId="5" borderId="0" xfId="0" applyNumberFormat="1" applyFill="1"/>
    <xf numFmtId="0" fontId="0" fillId="5" borderId="9" xfId="0" applyFill="1" applyBorder="1"/>
    <xf numFmtId="0" fontId="10" fillId="0" borderId="1" xfId="0" applyFont="1" applyBorder="1" applyAlignment="1">
      <alignment horizontal="center" vertical="center"/>
    </xf>
    <xf numFmtId="14" fontId="10" fillId="0" borderId="1" xfId="0" applyNumberFormat="1" applyFont="1" applyBorder="1" applyAlignment="1">
      <alignment horizontal="center" vertical="center" wrapText="1"/>
    </xf>
    <xf numFmtId="0" fontId="0" fillId="5" borderId="16" xfId="0" applyFill="1" applyBorder="1"/>
    <xf numFmtId="0" fontId="13" fillId="0" borderId="16" xfId="0" applyFont="1" applyBorder="1" applyAlignment="1">
      <alignment horizontal="right"/>
    </xf>
    <xf numFmtId="14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left" wrapText="1"/>
    </xf>
    <xf numFmtId="0" fontId="10" fillId="0" borderId="1" xfId="0" applyFont="1" applyBorder="1" applyAlignment="1">
      <alignment horizontal="left" vertical="center" wrapText="1"/>
    </xf>
    <xf numFmtId="0" fontId="13" fillId="7" borderId="6" xfId="0" applyFont="1" applyFill="1" applyBorder="1"/>
    <xf numFmtId="0" fontId="13" fillId="15" borderId="5" xfId="0" applyFont="1" applyFill="1" applyBorder="1"/>
    <xf numFmtId="0" fontId="0" fillId="5" borderId="8" xfId="0" applyFill="1" applyBorder="1"/>
    <xf numFmtId="9" fontId="26" fillId="5" borderId="9" xfId="0" applyNumberFormat="1" applyFont="1" applyFill="1" applyBorder="1"/>
    <xf numFmtId="0" fontId="10" fillId="0" borderId="1" xfId="0" applyFont="1" applyBorder="1" applyAlignment="1">
      <alignment wrapText="1"/>
    </xf>
    <xf numFmtId="0" fontId="13" fillId="15" borderId="1" xfId="0" applyFont="1" applyFill="1" applyBorder="1" applyAlignment="1">
      <alignment horizontal="center"/>
    </xf>
    <xf numFmtId="0" fontId="10" fillId="0" borderId="1" xfId="0" applyFont="1" applyBorder="1" applyAlignment="1">
      <alignment vertical="top" wrapText="1"/>
    </xf>
    <xf numFmtId="0" fontId="0" fillId="16" borderId="13" xfId="0" applyFill="1" applyBorder="1" applyAlignment="1">
      <alignment horizontal="center"/>
    </xf>
    <xf numFmtId="0" fontId="13" fillId="12" borderId="1" xfId="0" applyFont="1" applyFill="1" applyBorder="1" applyAlignment="1">
      <alignment horizontal="right" vertical="center"/>
    </xf>
    <xf numFmtId="0" fontId="10" fillId="0" borderId="5" xfId="0" applyFont="1" applyBorder="1" applyAlignment="1">
      <alignment horizontal="left" vertical="center" wrapText="1"/>
    </xf>
    <xf numFmtId="0" fontId="29" fillId="0" borderId="1" xfId="1" applyFont="1" applyBorder="1" applyAlignment="1">
      <alignment horizontal="center"/>
    </xf>
    <xf numFmtId="0" fontId="29" fillId="0" borderId="1" xfId="1" applyFont="1" applyBorder="1" applyAlignment="1">
      <alignment horizontal="center" vertical="center"/>
    </xf>
    <xf numFmtId="0" fontId="10" fillId="0" borderId="0" xfId="0" applyFont="1" applyAlignment="1" applyProtection="1">
      <alignment horizontal="center"/>
      <protection locked="0"/>
    </xf>
    <xf numFmtId="0" fontId="6" fillId="0" borderId="1" xfId="1" applyBorder="1" applyAlignment="1">
      <alignment horizontal="center" vertical="center"/>
    </xf>
    <xf numFmtId="0" fontId="10" fillId="0" borderId="0" xfId="0" applyFont="1" applyAlignment="1" applyProtection="1">
      <alignment horizontal="left" vertical="top" wrapText="1"/>
      <protection locked="0"/>
    </xf>
    <xf numFmtId="0" fontId="13" fillId="15" borderId="4" xfId="0" applyFont="1" applyFill="1" applyBorder="1" applyAlignment="1">
      <alignment horizontal="center"/>
    </xf>
    <xf numFmtId="0" fontId="8" fillId="9" borderId="4" xfId="2" applyFont="1" applyFill="1" applyBorder="1" applyAlignment="1">
      <alignment horizontal="center"/>
    </xf>
    <xf numFmtId="0" fontId="8" fillId="9" borderId="5" xfId="2" applyFont="1" applyFill="1" applyBorder="1" applyAlignment="1">
      <alignment horizontal="center"/>
    </xf>
    <xf numFmtId="0" fontId="13" fillId="15" borderId="5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20" borderId="5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7" borderId="3" xfId="0" applyFill="1" applyBorder="1" applyAlignment="1">
      <alignment horizontal="center"/>
    </xf>
    <xf numFmtId="49" fontId="0" fillId="10" borderId="3" xfId="0" applyNumberForma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13" fillId="20" borderId="9" xfId="0" applyFont="1" applyFill="1" applyBorder="1" applyAlignment="1">
      <alignment horizontal="center"/>
    </xf>
    <xf numFmtId="0" fontId="31" fillId="0" borderId="0" xfId="0" applyFont="1" applyAlignment="1" applyProtection="1">
      <alignment horizontal="left" vertical="top" wrapText="1"/>
      <protection locked="0"/>
    </xf>
    <xf numFmtId="0" fontId="30" fillId="0" borderId="0" xfId="0" applyFont="1" applyAlignment="1" applyProtection="1">
      <alignment horizontal="left" vertical="top" wrapText="1"/>
      <protection locked="0"/>
    </xf>
    <xf numFmtId="0" fontId="32" fillId="0" borderId="0" xfId="0" applyFont="1" applyProtection="1">
      <protection locked="0"/>
    </xf>
    <xf numFmtId="1" fontId="33" fillId="0" borderId="0" xfId="0" applyNumberFormat="1" applyFont="1" applyProtection="1">
      <protection hidden="1"/>
    </xf>
    <xf numFmtId="0" fontId="10" fillId="5" borderId="0" xfId="0" applyFont="1" applyFill="1"/>
    <xf numFmtId="0" fontId="9" fillId="0" borderId="0" xfId="3" applyFont="1"/>
    <xf numFmtId="0" fontId="10" fillId="0" borderId="0" xfId="3" applyFont="1"/>
    <xf numFmtId="0" fontId="10" fillId="0" borderId="20" xfId="3" applyFont="1" applyBorder="1"/>
    <xf numFmtId="0" fontId="10" fillId="0" borderId="18" xfId="3" applyFont="1" applyBorder="1"/>
    <xf numFmtId="0" fontId="34" fillId="0" borderId="20" xfId="3" applyFont="1" applyBorder="1" applyAlignment="1">
      <alignment vertical="top"/>
    </xf>
    <xf numFmtId="0" fontId="35" fillId="22" borderId="19" xfId="3" applyFont="1" applyFill="1" applyBorder="1" applyAlignment="1">
      <alignment horizontal="center" wrapText="1"/>
    </xf>
    <xf numFmtId="0" fontId="30" fillId="0" borderId="0" xfId="3" applyFont="1"/>
    <xf numFmtId="0" fontId="10" fillId="0" borderId="19" xfId="3" applyFont="1" applyBorder="1" applyAlignment="1">
      <alignment horizontal="center"/>
    </xf>
    <xf numFmtId="0" fontId="13" fillId="0" borderId="0" xfId="0" applyFont="1"/>
    <xf numFmtId="0" fontId="28" fillId="5" borderId="0" xfId="0" applyFont="1" applyFill="1" applyAlignment="1">
      <alignment horizontal="left"/>
    </xf>
    <xf numFmtId="0" fontId="39" fillId="7" borderId="27" xfId="0" applyFont="1" applyFill="1" applyBorder="1" applyAlignment="1">
      <alignment vertical="center"/>
    </xf>
    <xf numFmtId="0" fontId="39" fillId="10" borderId="35" xfId="0" applyFont="1" applyFill="1" applyBorder="1" applyAlignment="1">
      <alignment vertical="center"/>
    </xf>
    <xf numFmtId="0" fontId="39" fillId="8" borderId="35" xfId="0" applyFont="1" applyFill="1" applyBorder="1" applyAlignment="1">
      <alignment vertical="center"/>
    </xf>
    <xf numFmtId="0" fontId="28" fillId="5" borderId="0" xfId="0" applyFont="1" applyFill="1" applyAlignment="1">
      <alignment horizontal="left" wrapText="1"/>
    </xf>
    <xf numFmtId="0" fontId="14" fillId="9" borderId="27" xfId="0" applyFont="1" applyFill="1" applyBorder="1" applyAlignment="1">
      <alignment horizontal="left"/>
    </xf>
    <xf numFmtId="0" fontId="14" fillId="9" borderId="35" xfId="0" applyFont="1" applyFill="1" applyBorder="1" applyAlignment="1">
      <alignment horizontal="left"/>
    </xf>
    <xf numFmtId="0" fontId="0" fillId="16" borderId="7" xfId="0" applyFill="1" applyBorder="1" applyAlignment="1">
      <alignment wrapText="1"/>
    </xf>
    <xf numFmtId="0" fontId="0" fillId="0" borderId="5" xfId="0" applyBorder="1"/>
    <xf numFmtId="0" fontId="4" fillId="0" borderId="6" xfId="0" applyFont="1" applyBorder="1"/>
    <xf numFmtId="0" fontId="0" fillId="0" borderId="5" xfId="0" applyBorder="1" applyAlignment="1">
      <alignment horizontal="left" wrapText="1"/>
    </xf>
    <xf numFmtId="0" fontId="0" fillId="0" borderId="5" xfId="0" applyBorder="1" applyAlignment="1">
      <alignment wrapText="1"/>
    </xf>
    <xf numFmtId="0" fontId="16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4" fillId="0" borderId="13" xfId="0" applyFont="1" applyBorder="1"/>
    <xf numFmtId="0" fontId="4" fillId="0" borderId="5" xfId="0" applyFont="1" applyBorder="1"/>
    <xf numFmtId="0" fontId="4" fillId="0" borderId="12" xfId="0" applyFont="1" applyBorder="1"/>
    <xf numFmtId="0" fontId="0" fillId="0" borderId="4" xfId="0" applyBorder="1"/>
    <xf numFmtId="0" fontId="13" fillId="20" borderId="5" xfId="0" applyFont="1" applyFill="1" applyBorder="1"/>
    <xf numFmtId="0" fontId="4" fillId="0" borderId="1" xfId="0" applyFont="1" applyBorder="1"/>
    <xf numFmtId="0" fontId="0" fillId="0" borderId="4" xfId="0" applyBorder="1" applyAlignment="1">
      <alignment horizontal="left" wrapText="1"/>
    </xf>
    <xf numFmtId="0" fontId="0" fillId="0" borderId="4" xfId="0" applyBorder="1" applyAlignment="1">
      <alignment wrapText="1"/>
    </xf>
    <xf numFmtId="0" fontId="0" fillId="0" borderId="2" xfId="0" applyBorder="1" applyAlignment="1">
      <alignment horizontal="center"/>
    </xf>
    <xf numFmtId="0" fontId="0" fillId="5" borderId="0" xfId="0" quotePrefix="1" applyFill="1"/>
    <xf numFmtId="0" fontId="10" fillId="0" borderId="0" xfId="0" quotePrefix="1" applyFont="1" applyProtection="1">
      <protection locked="0"/>
    </xf>
    <xf numFmtId="0" fontId="36" fillId="0" borderId="31" xfId="0" applyFont="1" applyBorder="1" applyAlignment="1">
      <alignment horizontal="left" vertical="top"/>
    </xf>
    <xf numFmtId="0" fontId="36" fillId="9" borderId="35" xfId="0" applyFont="1" applyFill="1" applyBorder="1" applyAlignment="1">
      <alignment horizontal="center"/>
    </xf>
    <xf numFmtId="0" fontId="10" fillId="0" borderId="0" xfId="0" applyFont="1" applyAlignment="1" applyProtection="1">
      <alignment horizontal="left"/>
      <protection locked="0"/>
    </xf>
    <xf numFmtId="0" fontId="36" fillId="0" borderId="31" xfId="0" applyFont="1" applyBorder="1" applyAlignment="1">
      <alignment vertical="top"/>
    </xf>
    <xf numFmtId="0" fontId="0" fillId="0" borderId="6" xfId="0" applyBorder="1" applyAlignment="1">
      <alignment horizontal="center"/>
    </xf>
    <xf numFmtId="0" fontId="1" fillId="2" borderId="0" xfId="0" applyFont="1" applyFill="1" applyAlignment="1">
      <alignment horizontal="center"/>
    </xf>
    <xf numFmtId="49" fontId="0" fillId="10" borderId="0" xfId="0" applyNumberFormat="1" applyFill="1" applyAlignment="1">
      <alignment horizontal="center"/>
    </xf>
    <xf numFmtId="0" fontId="8" fillId="9" borderId="0" xfId="2" applyFont="1" applyFill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4" fillId="0" borderId="0" xfId="0" applyFont="1"/>
    <xf numFmtId="0" fontId="0" fillId="0" borderId="9" xfId="0" applyBorder="1" applyAlignment="1">
      <alignment horizontal="center"/>
    </xf>
    <xf numFmtId="164" fontId="15" fillId="15" borderId="1" xfId="0" applyNumberFormat="1" applyFont="1" applyFill="1" applyBorder="1" applyAlignment="1">
      <alignment horizontal="center" vertical="center"/>
    </xf>
    <xf numFmtId="164" fontId="15" fillId="15" borderId="4" xfId="0" applyNumberFormat="1" applyFont="1" applyFill="1" applyBorder="1" applyAlignment="1">
      <alignment horizontal="center" vertical="center"/>
    </xf>
    <xf numFmtId="164" fontId="0" fillId="12" borderId="1" xfId="0" applyNumberFormat="1" applyFill="1" applyBorder="1"/>
    <xf numFmtId="164" fontId="0" fillId="16" borderId="7" xfId="0" applyNumberFormat="1" applyFill="1" applyBorder="1"/>
    <xf numFmtId="164" fontId="0" fillId="5" borderId="3" xfId="0" applyNumberFormat="1" applyFill="1" applyBorder="1"/>
    <xf numFmtId="0" fontId="4" fillId="0" borderId="0" xfId="0" applyFont="1" applyAlignment="1">
      <alignment horizontal="left" wrapText="1"/>
    </xf>
    <xf numFmtId="0" fontId="4" fillId="0" borderId="9" xfId="0" applyFont="1" applyBorder="1"/>
    <xf numFmtId="0" fontId="13" fillId="7" borderId="1" xfId="0" applyFont="1" applyFill="1" applyBorder="1" applyAlignment="1">
      <alignment horizontal="center" vertical="center"/>
    </xf>
    <xf numFmtId="0" fontId="13" fillId="14" borderId="1" xfId="0" applyFont="1" applyFill="1" applyBorder="1"/>
    <xf numFmtId="1" fontId="45" fillId="5" borderId="0" xfId="0" applyNumberFormat="1" applyFont="1" applyFill="1" applyProtection="1">
      <protection hidden="1"/>
    </xf>
    <xf numFmtId="0" fontId="8" fillId="3" borderId="9" xfId="2" applyFont="1" applyFill="1" applyBorder="1" applyAlignment="1">
      <alignment horizontal="center"/>
    </xf>
    <xf numFmtId="0" fontId="13" fillId="5" borderId="1" xfId="0" applyFont="1" applyFill="1" applyBorder="1" applyAlignment="1">
      <alignment vertical="center"/>
    </xf>
    <xf numFmtId="0" fontId="13" fillId="5" borderId="1" xfId="0" applyFont="1" applyFill="1" applyBorder="1" applyAlignment="1">
      <alignment vertical="center" wrapText="1"/>
    </xf>
    <xf numFmtId="0" fontId="0" fillId="5" borderId="1" xfId="0" applyFill="1" applyBorder="1"/>
    <xf numFmtId="164" fontId="46" fillId="5" borderId="0" xfId="0" applyNumberFormat="1" applyFont="1" applyFill="1"/>
    <xf numFmtId="0" fontId="40" fillId="5" borderId="0" xfId="0" applyFont="1" applyFill="1" applyProtection="1">
      <protection locked="0"/>
    </xf>
    <xf numFmtId="0" fontId="42" fillId="5" borderId="1" xfId="0" applyFont="1" applyFill="1" applyBorder="1" applyAlignment="1" applyProtection="1">
      <alignment horizontal="center" vertical="center"/>
      <protection locked="0"/>
    </xf>
    <xf numFmtId="0" fontId="42" fillId="5" borderId="56" xfId="0" applyFont="1" applyFill="1" applyBorder="1" applyAlignment="1" applyProtection="1">
      <alignment horizontal="center" vertical="center"/>
      <protection locked="0"/>
    </xf>
    <xf numFmtId="0" fontId="43" fillId="5" borderId="52" xfId="0" applyFont="1" applyFill="1" applyBorder="1" applyAlignment="1" applyProtection="1">
      <alignment horizontal="center" vertical="center"/>
      <protection locked="0"/>
    </xf>
    <xf numFmtId="0" fontId="43" fillId="5" borderId="57" xfId="0" applyFont="1" applyFill="1" applyBorder="1" applyAlignment="1" applyProtection="1">
      <alignment horizontal="center" vertical="center"/>
      <protection locked="0"/>
    </xf>
    <xf numFmtId="0" fontId="10" fillId="0" borderId="54" xfId="0" applyFont="1" applyBorder="1" applyAlignment="1" applyProtection="1">
      <alignment horizontal="center" vertical="center"/>
      <protection locked="0"/>
    </xf>
    <xf numFmtId="0" fontId="10" fillId="0" borderId="57" xfId="0" applyFont="1" applyBorder="1" applyAlignment="1" applyProtection="1">
      <alignment horizontal="center" vertical="center"/>
      <protection locked="0"/>
    </xf>
    <xf numFmtId="164" fontId="33" fillId="0" borderId="0" xfId="0" applyNumberFormat="1" applyFont="1" applyProtection="1">
      <protection hidden="1"/>
    </xf>
    <xf numFmtId="1" fontId="9" fillId="0" borderId="28" xfId="0" applyNumberFormat="1" applyFont="1" applyBorder="1" applyAlignment="1" applyProtection="1">
      <alignment horizontal="center"/>
      <protection hidden="1"/>
    </xf>
    <xf numFmtId="164" fontId="9" fillId="0" borderId="25" xfId="0" applyNumberFormat="1" applyFont="1" applyBorder="1" applyAlignment="1" applyProtection="1">
      <alignment horizontal="center"/>
      <protection hidden="1"/>
    </xf>
    <xf numFmtId="1" fontId="10" fillId="0" borderId="0" xfId="0" applyNumberFormat="1" applyFont="1" applyAlignment="1" applyProtection="1">
      <alignment horizontal="right"/>
      <protection locked="0"/>
    </xf>
    <xf numFmtId="164" fontId="10" fillId="0" borderId="0" xfId="0" applyNumberFormat="1" applyFont="1" applyAlignment="1" applyProtection="1">
      <alignment horizontal="right"/>
      <protection locked="0"/>
    </xf>
    <xf numFmtId="0" fontId="10" fillId="0" borderId="53" xfId="0" applyFont="1" applyBorder="1" applyAlignment="1" applyProtection="1">
      <alignment horizontal="center"/>
      <protection locked="0"/>
    </xf>
    <xf numFmtId="0" fontId="44" fillId="23" borderId="8" xfId="0" applyFont="1" applyFill="1" applyBorder="1" applyAlignment="1">
      <alignment horizontal="center"/>
    </xf>
    <xf numFmtId="0" fontId="44" fillId="23" borderId="9" xfId="0" applyFont="1" applyFill="1" applyBorder="1" applyAlignment="1">
      <alignment horizontal="center"/>
    </xf>
    <xf numFmtId="0" fontId="0" fillId="0" borderId="53" xfId="0" applyBorder="1" applyAlignment="1">
      <alignment vertical="center"/>
    </xf>
    <xf numFmtId="0" fontId="13" fillId="27" borderId="2" xfId="0" applyFont="1" applyFill="1" applyBorder="1" applyAlignment="1">
      <alignment horizontal="center" vertical="center"/>
    </xf>
    <xf numFmtId="0" fontId="13" fillId="27" borderId="2" xfId="0" applyFont="1" applyFill="1" applyBorder="1" applyAlignment="1">
      <alignment horizontal="center"/>
    </xf>
    <xf numFmtId="164" fontId="10" fillId="0" borderId="1" xfId="0" applyNumberFormat="1" applyFont="1" applyBorder="1" applyAlignment="1" applyProtection="1">
      <alignment horizontal="right"/>
      <protection locked="0"/>
    </xf>
    <xf numFmtId="164" fontId="10" fillId="0" borderId="1" xfId="0" applyNumberFormat="1" applyFont="1" applyBorder="1" applyAlignment="1" applyProtection="1">
      <alignment horizontal="right"/>
      <protection hidden="1"/>
    </xf>
    <xf numFmtId="164" fontId="0" fillId="0" borderId="0" xfId="0" applyNumberFormat="1"/>
    <xf numFmtId="164" fontId="0" fillId="12" borderId="0" xfId="0" applyNumberFormat="1" applyFill="1"/>
    <xf numFmtId="164" fontId="0" fillId="17" borderId="0" xfId="0" applyNumberFormat="1" applyFill="1"/>
    <xf numFmtId="0" fontId="13" fillId="26" borderId="1" xfId="0" applyFont="1" applyFill="1" applyBorder="1" applyAlignment="1">
      <alignment horizontal="center"/>
    </xf>
    <xf numFmtId="164" fontId="9" fillId="0" borderId="0" xfId="0" applyNumberFormat="1" applyFont="1" applyAlignment="1" applyProtection="1">
      <alignment horizontal="center"/>
      <protection hidden="1"/>
    </xf>
    <xf numFmtId="0" fontId="10" fillId="0" borderId="1" xfId="0" applyFont="1" applyBorder="1" applyProtection="1">
      <protection locked="0"/>
    </xf>
    <xf numFmtId="0" fontId="10" fillId="0" borderId="56" xfId="0" applyFont="1" applyBorder="1" applyProtection="1">
      <protection locked="0"/>
    </xf>
    <xf numFmtId="164" fontId="9" fillId="0" borderId="54" xfId="0" applyNumberFormat="1" applyFont="1" applyBorder="1" applyAlignment="1" applyProtection="1">
      <alignment horizontal="center"/>
      <protection hidden="1"/>
    </xf>
    <xf numFmtId="164" fontId="9" fillId="0" borderId="57" xfId="0" applyNumberFormat="1" applyFont="1" applyBorder="1" applyAlignment="1" applyProtection="1">
      <alignment horizontal="center"/>
      <protection hidden="1"/>
    </xf>
    <xf numFmtId="1" fontId="48" fillId="0" borderId="52" xfId="0" applyNumberFormat="1" applyFont="1" applyBorder="1" applyAlignment="1" applyProtection="1">
      <alignment horizontal="center"/>
      <protection hidden="1"/>
    </xf>
    <xf numFmtId="1" fontId="48" fillId="0" borderId="54" xfId="0" applyNumberFormat="1" applyFont="1" applyBorder="1" applyAlignment="1" applyProtection="1">
      <alignment horizontal="center"/>
      <protection hidden="1"/>
    </xf>
    <xf numFmtId="164" fontId="48" fillId="0" borderId="54" xfId="0" applyNumberFormat="1" applyFont="1" applyBorder="1" applyAlignment="1" applyProtection="1">
      <alignment horizontal="center"/>
      <protection hidden="1"/>
    </xf>
    <xf numFmtId="164" fontId="48" fillId="5" borderId="54" xfId="0" applyNumberFormat="1" applyFont="1" applyFill="1" applyBorder="1" applyAlignment="1" applyProtection="1">
      <alignment horizontal="center"/>
      <protection hidden="1"/>
    </xf>
    <xf numFmtId="0" fontId="13" fillId="26" borderId="50" xfId="0" applyFont="1" applyFill="1" applyBorder="1" applyAlignment="1">
      <alignment horizontal="center" vertical="center"/>
    </xf>
    <xf numFmtId="0" fontId="13" fillId="26" borderId="51" xfId="0" applyFont="1" applyFill="1" applyBorder="1" applyAlignment="1">
      <alignment horizontal="center"/>
    </xf>
    <xf numFmtId="0" fontId="13" fillId="26" borderId="53" xfId="0" applyFont="1" applyFill="1" applyBorder="1" applyAlignment="1">
      <alignment horizontal="center" vertical="center"/>
    </xf>
    <xf numFmtId="0" fontId="13" fillId="26" borderId="55" xfId="0" applyFont="1" applyFill="1" applyBorder="1" applyAlignment="1">
      <alignment horizontal="center" vertical="center"/>
    </xf>
    <xf numFmtId="0" fontId="13" fillId="26" borderId="56" xfId="0" applyFont="1" applyFill="1" applyBorder="1" applyAlignment="1">
      <alignment horizontal="center"/>
    </xf>
    <xf numFmtId="0" fontId="13" fillId="25" borderId="62" xfId="0" applyFont="1" applyFill="1" applyBorder="1" applyAlignment="1">
      <alignment horizontal="center" vertical="center" wrapText="1"/>
    </xf>
    <xf numFmtId="0" fontId="13" fillId="25" borderId="63" xfId="0" applyFont="1" applyFill="1" applyBorder="1" applyAlignment="1">
      <alignment horizontal="center" vertical="center"/>
    </xf>
    <xf numFmtId="0" fontId="31" fillId="0" borderId="42" xfId="0" applyFont="1" applyBorder="1" applyAlignment="1" applyProtection="1">
      <alignment horizontal="left" vertical="top"/>
      <protection locked="0"/>
    </xf>
    <xf numFmtId="0" fontId="31" fillId="0" borderId="43" xfId="0" applyFont="1" applyBorder="1" applyAlignment="1" applyProtection="1">
      <alignment horizontal="left" vertical="top"/>
      <protection locked="0"/>
    </xf>
    <xf numFmtId="0" fontId="31" fillId="0" borderId="44" xfId="0" applyFont="1" applyBorder="1" applyAlignment="1" applyProtection="1">
      <alignment horizontal="left" vertical="top"/>
      <protection locked="0"/>
    </xf>
    <xf numFmtId="1" fontId="0" fillId="0" borderId="1" xfId="0" applyNumberFormat="1" applyBorder="1" applyAlignment="1">
      <alignment horizontal="center"/>
    </xf>
    <xf numFmtId="164" fontId="48" fillId="5" borderId="40" xfId="0" applyNumberFormat="1" applyFont="1" applyFill="1" applyBorder="1" applyAlignment="1" applyProtection="1">
      <alignment horizontal="center"/>
      <protection hidden="1"/>
    </xf>
    <xf numFmtId="164" fontId="48" fillId="0" borderId="25" xfId="0" applyNumberFormat="1" applyFont="1" applyBorder="1" applyAlignment="1" applyProtection="1">
      <alignment horizontal="center"/>
      <protection hidden="1"/>
    </xf>
    <xf numFmtId="0" fontId="13" fillId="27" borderId="50" xfId="0" applyFont="1" applyFill="1" applyBorder="1" applyAlignment="1">
      <alignment horizontal="center" vertical="center"/>
    </xf>
    <xf numFmtId="0" fontId="13" fillId="27" borderId="52" xfId="0" applyFont="1" applyFill="1" applyBorder="1" applyAlignment="1">
      <alignment horizontal="center"/>
    </xf>
    <xf numFmtId="0" fontId="13" fillId="27" borderId="53" xfId="0" applyFont="1" applyFill="1" applyBorder="1" applyAlignment="1">
      <alignment horizontal="center" vertical="center"/>
    </xf>
    <xf numFmtId="0" fontId="13" fillId="27" borderId="54" xfId="0" applyFont="1" applyFill="1" applyBorder="1" applyAlignment="1">
      <alignment horizontal="center"/>
    </xf>
    <xf numFmtId="0" fontId="13" fillId="27" borderId="66" xfId="0" applyFont="1" applyFill="1" applyBorder="1" applyAlignment="1">
      <alignment horizontal="center" vertical="center"/>
    </xf>
    <xf numFmtId="0" fontId="13" fillId="27" borderId="67" xfId="0" applyFont="1" applyFill="1" applyBorder="1" applyAlignment="1">
      <alignment horizontal="center"/>
    </xf>
    <xf numFmtId="0" fontId="13" fillId="28" borderId="53" xfId="0" applyFont="1" applyFill="1" applyBorder="1" applyAlignment="1">
      <alignment horizontal="center" vertical="center"/>
    </xf>
    <xf numFmtId="0" fontId="13" fillId="28" borderId="1" xfId="0" applyFont="1" applyFill="1" applyBorder="1" applyAlignment="1">
      <alignment horizontal="center"/>
    </xf>
    <xf numFmtId="0" fontId="13" fillId="28" borderId="55" xfId="0" applyFont="1" applyFill="1" applyBorder="1" applyAlignment="1">
      <alignment horizontal="center" vertical="center"/>
    </xf>
    <xf numFmtId="0" fontId="13" fillId="28" borderId="56" xfId="0" applyFont="1" applyFill="1" applyBorder="1" applyAlignment="1">
      <alignment horizontal="center"/>
    </xf>
    <xf numFmtId="0" fontId="13" fillId="28" borderId="54" xfId="0" applyFont="1" applyFill="1" applyBorder="1" applyAlignment="1">
      <alignment horizontal="center"/>
    </xf>
    <xf numFmtId="0" fontId="13" fillId="28" borderId="57" xfId="0" applyFont="1" applyFill="1" applyBorder="1" applyAlignment="1">
      <alignment horizontal="center"/>
    </xf>
    <xf numFmtId="0" fontId="0" fillId="25" borderId="50" xfId="0" applyFill="1" applyBorder="1" applyAlignment="1">
      <alignment horizontal="center"/>
    </xf>
    <xf numFmtId="0" fontId="0" fillId="25" borderId="51" xfId="0" applyFill="1" applyBorder="1" applyAlignment="1">
      <alignment horizontal="center"/>
    </xf>
    <xf numFmtId="0" fontId="0" fillId="25" borderId="52" xfId="0" applyFill="1" applyBorder="1" applyAlignment="1">
      <alignment horizontal="center"/>
    </xf>
    <xf numFmtId="0" fontId="13" fillId="29" borderId="62" xfId="0" applyFont="1" applyFill="1" applyBorder="1" applyAlignment="1">
      <alignment horizontal="center" vertical="center" wrapText="1"/>
    </xf>
    <xf numFmtId="0" fontId="13" fillId="29" borderId="63" xfId="0" applyFont="1" applyFill="1" applyBorder="1" applyAlignment="1">
      <alignment horizontal="center" vertical="center"/>
    </xf>
    <xf numFmtId="0" fontId="13" fillId="16" borderId="62" xfId="0" applyFont="1" applyFill="1" applyBorder="1" applyAlignment="1">
      <alignment horizontal="center" vertical="center"/>
    </xf>
    <xf numFmtId="0" fontId="13" fillId="16" borderId="63" xfId="0" applyFont="1" applyFill="1" applyBorder="1" applyAlignment="1">
      <alignment horizontal="center"/>
    </xf>
    <xf numFmtId="0" fontId="13" fillId="15" borderId="64" xfId="0" applyFont="1" applyFill="1" applyBorder="1" applyAlignment="1">
      <alignment horizontal="center" vertical="center"/>
    </xf>
    <xf numFmtId="0" fontId="13" fillId="15" borderId="65" xfId="0" applyFont="1" applyFill="1" applyBorder="1" applyAlignment="1">
      <alignment horizontal="center"/>
    </xf>
    <xf numFmtId="0" fontId="0" fillId="25" borderId="1" xfId="0" applyFill="1" applyBorder="1" applyAlignment="1">
      <alignment horizontal="center" vertical="center"/>
    </xf>
    <xf numFmtId="164" fontId="11" fillId="5" borderId="0" xfId="0" applyNumberFormat="1" applyFont="1" applyFill="1" applyProtection="1">
      <protection locked="0"/>
    </xf>
    <xf numFmtId="164" fontId="0" fillId="25" borderId="1" xfId="0" applyNumberFormat="1" applyFill="1" applyBorder="1"/>
    <xf numFmtId="164" fontId="0" fillId="25" borderId="1" xfId="0" applyNumberFormat="1" applyFill="1" applyBorder="1" applyAlignment="1">
      <alignment horizontal="center" vertical="center"/>
    </xf>
    <xf numFmtId="164" fontId="0" fillId="25" borderId="1" xfId="0" applyNumberFormat="1" applyFill="1" applyBorder="1" applyAlignment="1">
      <alignment horizontal="center"/>
    </xf>
    <xf numFmtId="0" fontId="13" fillId="27" borderId="1" xfId="0" applyFont="1" applyFill="1" applyBorder="1" applyAlignment="1">
      <alignment horizontal="center" vertical="center"/>
    </xf>
    <xf numFmtId="0" fontId="13" fillId="27" borderId="1" xfId="0" applyFont="1" applyFill="1" applyBorder="1" applyAlignment="1">
      <alignment horizontal="center"/>
    </xf>
    <xf numFmtId="164" fontId="0" fillId="13" borderId="1" xfId="0" applyNumberFormat="1" applyFill="1" applyBorder="1" applyAlignment="1">
      <alignment vertical="center"/>
    </xf>
    <xf numFmtId="164" fontId="0" fillId="17" borderId="1" xfId="0" applyNumberFormat="1" applyFill="1" applyBorder="1" applyAlignment="1">
      <alignment vertical="center"/>
    </xf>
    <xf numFmtId="0" fontId="10" fillId="0" borderId="1" xfId="0" applyFont="1" applyBorder="1" applyAlignment="1" applyProtection="1">
      <alignment horizontal="center"/>
      <protection locked="0"/>
    </xf>
    <xf numFmtId="0" fontId="40" fillId="5" borderId="0" xfId="0" applyFont="1" applyFill="1" applyAlignment="1" applyProtection="1">
      <alignment horizontal="left"/>
      <protection locked="0"/>
    </xf>
    <xf numFmtId="0" fontId="11" fillId="5" borderId="0" xfId="0" applyFont="1" applyFill="1" applyProtection="1">
      <protection locked="0"/>
    </xf>
    <xf numFmtId="0" fontId="49" fillId="5" borderId="0" xfId="0" applyFont="1" applyFill="1" applyAlignment="1" applyProtection="1">
      <alignment horizontal="left"/>
      <protection locked="0"/>
    </xf>
    <xf numFmtId="0" fontId="47" fillId="25" borderId="52" xfId="0" applyFont="1" applyFill="1" applyBorder="1" applyAlignment="1" applyProtection="1">
      <alignment horizontal="left"/>
      <protection locked="0"/>
    </xf>
    <xf numFmtId="0" fontId="47" fillId="25" borderId="50" xfId="0" applyFont="1" applyFill="1" applyBorder="1" applyProtection="1">
      <protection locked="0"/>
    </xf>
    <xf numFmtId="0" fontId="47" fillId="25" borderId="53" xfId="0" applyFont="1" applyFill="1" applyBorder="1" applyProtection="1">
      <protection locked="0"/>
    </xf>
    <xf numFmtId="0" fontId="47" fillId="25" borderId="55" xfId="0" applyFont="1" applyFill="1" applyBorder="1" applyProtection="1">
      <protection locked="0"/>
    </xf>
    <xf numFmtId="0" fontId="47" fillId="25" borderId="61" xfId="0" applyFont="1" applyFill="1" applyBorder="1" applyAlignment="1" applyProtection="1">
      <alignment wrapText="1"/>
      <protection locked="0"/>
    </xf>
    <xf numFmtId="1" fontId="47" fillId="25" borderId="5" xfId="0" applyNumberFormat="1" applyFont="1" applyFill="1" applyBorder="1" applyAlignment="1" applyProtection="1">
      <alignment wrapText="1"/>
      <protection locked="0"/>
    </xf>
    <xf numFmtId="0" fontId="47" fillId="25" borderId="5" xfId="0" applyFont="1" applyFill="1" applyBorder="1" applyAlignment="1" applyProtection="1">
      <alignment wrapText="1"/>
      <protection locked="0"/>
    </xf>
    <xf numFmtId="9" fontId="47" fillId="25" borderId="51" xfId="0" applyNumberFormat="1" applyFont="1" applyFill="1" applyBorder="1" applyAlignment="1" applyProtection="1">
      <alignment horizontal="center" vertical="center"/>
      <protection locked="0"/>
    </xf>
    <xf numFmtId="0" fontId="7" fillId="25" borderId="51" xfId="0" applyFont="1" applyFill="1" applyBorder="1" applyProtection="1">
      <protection locked="0"/>
    </xf>
    <xf numFmtId="0" fontId="47" fillId="25" borderId="52" xfId="0" applyFont="1" applyFill="1" applyBorder="1" applyProtection="1">
      <protection locked="0"/>
    </xf>
    <xf numFmtId="0" fontId="10" fillId="25" borderId="53" xfId="0" applyFont="1" applyFill="1" applyBorder="1" applyAlignment="1" applyProtection="1">
      <alignment horizontal="center"/>
      <protection locked="0"/>
    </xf>
    <xf numFmtId="164" fontId="10" fillId="25" borderId="1" xfId="0" applyNumberFormat="1" applyFont="1" applyFill="1" applyBorder="1" applyAlignment="1" applyProtection="1">
      <alignment horizontal="right"/>
      <protection locked="0"/>
    </xf>
    <xf numFmtId="0" fontId="48" fillId="25" borderId="1" xfId="2" applyFont="1" applyFill="1" applyBorder="1" applyAlignment="1">
      <alignment horizontal="center"/>
    </xf>
    <xf numFmtId="0" fontId="48" fillId="25" borderId="1" xfId="2" applyFont="1" applyFill="1" applyBorder="1" applyAlignment="1">
      <alignment horizontal="center" vertical="center" wrapText="1"/>
    </xf>
    <xf numFmtId="0" fontId="7" fillId="5" borderId="53" xfId="0" applyFont="1" applyFill="1" applyBorder="1" applyAlignment="1" applyProtection="1">
      <alignment horizontal="center"/>
      <protection locked="0"/>
    </xf>
    <xf numFmtId="164" fontId="7" fillId="5" borderId="1" xfId="0" applyNumberFormat="1" applyFont="1" applyFill="1" applyBorder="1" applyAlignment="1" applyProtection="1">
      <alignment horizontal="right"/>
      <protection locked="0"/>
    </xf>
    <xf numFmtId="164" fontId="51" fillId="25" borderId="54" xfId="0" applyNumberFormat="1" applyFont="1" applyFill="1" applyBorder="1" applyAlignment="1" applyProtection="1">
      <alignment horizontal="center"/>
      <protection hidden="1"/>
    </xf>
    <xf numFmtId="0" fontId="47" fillId="25" borderId="1" xfId="0" applyFont="1" applyFill="1" applyBorder="1" applyAlignment="1" applyProtection="1">
      <alignment horizontal="center" vertical="center"/>
      <protection locked="0"/>
    </xf>
    <xf numFmtId="0" fontId="13" fillId="20" borderId="4" xfId="0" applyFont="1" applyFill="1" applyBorder="1" applyAlignment="1">
      <alignment horizontal="center"/>
    </xf>
    <xf numFmtId="0" fontId="13" fillId="20" borderId="5" xfId="0" applyFont="1" applyFill="1" applyBorder="1" applyAlignment="1">
      <alignment horizontal="center"/>
    </xf>
    <xf numFmtId="0" fontId="13" fillId="20" borderId="6" xfId="0" applyFont="1" applyFill="1" applyBorder="1" applyAlignment="1">
      <alignment horizontal="center"/>
    </xf>
    <xf numFmtId="0" fontId="13" fillId="23" borderId="16" xfId="0" applyFont="1" applyFill="1" applyBorder="1" applyAlignment="1">
      <alignment horizontal="center"/>
    </xf>
    <xf numFmtId="0" fontId="13" fillId="23" borderId="15" xfId="0" applyFont="1" applyFill="1" applyBorder="1" applyAlignment="1">
      <alignment horizontal="center"/>
    </xf>
    <xf numFmtId="0" fontId="13" fillId="20" borderId="11" xfId="0" applyFont="1" applyFill="1" applyBorder="1" applyAlignment="1">
      <alignment horizontal="center"/>
    </xf>
    <xf numFmtId="0" fontId="13" fillId="20" borderId="12" xfId="0" applyFont="1" applyFill="1" applyBorder="1" applyAlignment="1">
      <alignment horizontal="center"/>
    </xf>
    <xf numFmtId="0" fontId="13" fillId="20" borderId="13" xfId="0" applyFont="1" applyFill="1" applyBorder="1" applyAlignment="1">
      <alignment horizontal="center"/>
    </xf>
    <xf numFmtId="0" fontId="7" fillId="0" borderId="0" xfId="0" applyFont="1" applyProtection="1">
      <protection locked="0"/>
    </xf>
    <xf numFmtId="0" fontId="7" fillId="5" borderId="0" xfId="0" applyFont="1" applyFill="1" applyProtection="1">
      <protection locked="0"/>
    </xf>
    <xf numFmtId="0" fontId="43" fillId="5" borderId="54" xfId="0" applyFont="1" applyFill="1" applyBorder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left" vertical="top"/>
      <protection locked="0"/>
    </xf>
    <xf numFmtId="0" fontId="48" fillId="25" borderId="50" xfId="0" applyFont="1" applyFill="1" applyBorder="1" applyAlignment="1" applyProtection="1">
      <alignment vertical="center"/>
      <protection locked="0"/>
    </xf>
    <xf numFmtId="0" fontId="48" fillId="25" borderId="51" xfId="0" applyFont="1" applyFill="1" applyBorder="1" applyAlignment="1" applyProtection="1">
      <alignment vertical="center"/>
      <protection locked="0"/>
    </xf>
    <xf numFmtId="0" fontId="48" fillId="25" borderId="52" xfId="0" applyFont="1" applyFill="1" applyBorder="1" applyAlignment="1" applyProtection="1">
      <alignment vertical="center"/>
      <protection locked="0"/>
    </xf>
    <xf numFmtId="0" fontId="48" fillId="25" borderId="53" xfId="0" applyFont="1" applyFill="1" applyBorder="1" applyAlignment="1" applyProtection="1">
      <alignment vertical="center"/>
      <protection locked="0"/>
    </xf>
    <xf numFmtId="0" fontId="48" fillId="25" borderId="1" xfId="0" applyFont="1" applyFill="1" applyBorder="1" applyAlignment="1" applyProtection="1">
      <alignment vertical="center"/>
      <protection locked="0"/>
    </xf>
    <xf numFmtId="0" fontId="48" fillId="25" borderId="54" xfId="0" applyFont="1" applyFill="1" applyBorder="1" applyAlignment="1" applyProtection="1">
      <alignment vertical="center"/>
      <protection locked="0"/>
    </xf>
    <xf numFmtId="0" fontId="48" fillId="6" borderId="16" xfId="0" applyFont="1" applyFill="1" applyBorder="1" applyAlignment="1" applyProtection="1">
      <alignment vertical="center"/>
      <protection locked="0"/>
    </xf>
    <xf numFmtId="0" fontId="48" fillId="6" borderId="0" xfId="0" applyFont="1" applyFill="1" applyAlignment="1" applyProtection="1">
      <alignment vertical="center"/>
      <protection locked="0"/>
    </xf>
    <xf numFmtId="0" fontId="13" fillId="24" borderId="8" xfId="0" applyFont="1" applyFill="1" applyBorder="1" applyAlignment="1">
      <alignment horizontal="center"/>
    </xf>
    <xf numFmtId="0" fontId="13" fillId="24" borderId="9" xfId="0" applyFont="1" applyFill="1" applyBorder="1" applyAlignment="1">
      <alignment horizontal="center"/>
    </xf>
    <xf numFmtId="0" fontId="13" fillId="24" borderId="10" xfId="0" applyFont="1" applyFill="1" applyBorder="1" applyAlignment="1">
      <alignment horizontal="center"/>
    </xf>
    <xf numFmtId="0" fontId="13" fillId="14" borderId="3" xfId="0" applyFont="1" applyFill="1" applyBorder="1"/>
    <xf numFmtId="0" fontId="12" fillId="0" borderId="16" xfId="0" applyFont="1" applyBorder="1" applyAlignment="1">
      <alignment horizontal="center" vertical="center"/>
    </xf>
    <xf numFmtId="0" fontId="13" fillId="15" borderId="2" xfId="0" applyFont="1" applyFill="1" applyBorder="1" applyAlignment="1">
      <alignment horizontal="right"/>
    </xf>
    <xf numFmtId="0" fontId="13" fillId="23" borderId="0" xfId="0" applyFont="1" applyFill="1" applyAlignment="1">
      <alignment horizontal="center"/>
    </xf>
    <xf numFmtId="0" fontId="13" fillId="15" borderId="16" xfId="0" applyFont="1" applyFill="1" applyBorder="1" applyAlignment="1">
      <alignment horizontal="right"/>
    </xf>
    <xf numFmtId="0" fontId="13" fillId="15" borderId="0" xfId="0" applyFont="1" applyFill="1" applyAlignment="1">
      <alignment horizontal="right"/>
    </xf>
    <xf numFmtId="0" fontId="13" fillId="15" borderId="15" xfId="0" applyFont="1" applyFill="1" applyBorder="1" applyAlignment="1">
      <alignment horizontal="right"/>
    </xf>
    <xf numFmtId="0" fontId="13" fillId="15" borderId="11" xfId="0" applyFont="1" applyFill="1" applyBorder="1" applyAlignment="1">
      <alignment horizontal="center"/>
    </xf>
    <xf numFmtId="0" fontId="13" fillId="15" borderId="12" xfId="0" applyFont="1" applyFill="1" applyBorder="1" applyAlignment="1">
      <alignment horizontal="center"/>
    </xf>
    <xf numFmtId="0" fontId="13" fillId="15" borderId="13" xfId="0" applyFont="1" applyFill="1" applyBorder="1" applyAlignment="1">
      <alignment horizontal="center"/>
    </xf>
    <xf numFmtId="0" fontId="13" fillId="15" borderId="12" xfId="0" applyFont="1" applyFill="1" applyBorder="1"/>
    <xf numFmtId="1" fontId="48" fillId="0" borderId="70" xfId="0" applyNumberFormat="1" applyFont="1" applyBorder="1" applyAlignment="1" applyProtection="1">
      <alignment horizontal="center"/>
      <protection hidden="1"/>
    </xf>
    <xf numFmtId="1" fontId="9" fillId="0" borderId="40" xfId="0" applyNumberFormat="1" applyFont="1" applyBorder="1" applyAlignment="1" applyProtection="1">
      <alignment horizontal="center"/>
      <protection hidden="1"/>
    </xf>
    <xf numFmtId="0" fontId="13" fillId="15" borderId="7" xfId="0" applyFont="1" applyFill="1" applyBorder="1" applyAlignment="1">
      <alignment horizontal="right"/>
    </xf>
    <xf numFmtId="0" fontId="13" fillId="15" borderId="11" xfId="0" applyFont="1" applyFill="1" applyBorder="1" applyAlignment="1">
      <alignment horizontal="right"/>
    </xf>
    <xf numFmtId="0" fontId="13" fillId="15" borderId="12" xfId="0" applyFont="1" applyFill="1" applyBorder="1" applyAlignment="1">
      <alignment horizontal="right"/>
    </xf>
    <xf numFmtId="0" fontId="13" fillId="15" borderId="13" xfId="0" applyFont="1" applyFill="1" applyBorder="1" applyAlignment="1">
      <alignment horizontal="right"/>
    </xf>
    <xf numFmtId="0" fontId="13" fillId="24" borderId="4" xfId="0" applyFont="1" applyFill="1" applyBorder="1"/>
    <xf numFmtId="0" fontId="13" fillId="24" borderId="5" xfId="0" applyFont="1" applyFill="1" applyBorder="1"/>
    <xf numFmtId="0" fontId="13" fillId="24" borderId="6" xfId="0" applyFont="1" applyFill="1" applyBorder="1"/>
    <xf numFmtId="0" fontId="7" fillId="0" borderId="1" xfId="0" applyFont="1" applyBorder="1" applyAlignment="1" applyProtection="1">
      <alignment horizontal="center"/>
      <protection locked="0"/>
    </xf>
    <xf numFmtId="0" fontId="7" fillId="0" borderId="54" xfId="0" applyFont="1" applyBorder="1" applyAlignment="1" applyProtection="1">
      <alignment horizontal="center"/>
      <protection locked="0"/>
    </xf>
    <xf numFmtId="0" fontId="7" fillId="0" borderId="56" xfId="0" applyFont="1" applyBorder="1" applyAlignment="1" applyProtection="1">
      <alignment horizontal="center"/>
      <protection locked="0"/>
    </xf>
    <xf numFmtId="0" fontId="7" fillId="0" borderId="57" xfId="0" applyFont="1" applyBorder="1" applyAlignment="1" applyProtection="1">
      <alignment horizontal="center"/>
      <protection locked="0"/>
    </xf>
    <xf numFmtId="0" fontId="7" fillId="25" borderId="53" xfId="0" applyFont="1" applyFill="1" applyBorder="1" applyAlignment="1" applyProtection="1">
      <alignment vertical="center"/>
      <protection locked="0"/>
    </xf>
    <xf numFmtId="0" fontId="7" fillId="25" borderId="55" xfId="0" applyFont="1" applyFill="1" applyBorder="1" applyAlignment="1" applyProtection="1">
      <alignment vertical="center"/>
      <protection locked="0"/>
    </xf>
    <xf numFmtId="0" fontId="47" fillId="25" borderId="50" xfId="0" applyFont="1" applyFill="1" applyBorder="1" applyAlignment="1" applyProtection="1">
      <alignment vertical="center"/>
      <protection locked="0"/>
    </xf>
    <xf numFmtId="0" fontId="47" fillId="25" borderId="55" xfId="0" applyFont="1" applyFill="1" applyBorder="1" applyAlignment="1" applyProtection="1">
      <alignment vertical="center"/>
      <protection locked="0"/>
    </xf>
    <xf numFmtId="0" fontId="47" fillId="25" borderId="53" xfId="0" applyFont="1" applyFill="1" applyBorder="1" applyAlignment="1" applyProtection="1">
      <alignment vertical="center"/>
      <protection locked="0"/>
    </xf>
    <xf numFmtId="0" fontId="48" fillId="25" borderId="4" xfId="2" applyFont="1" applyFill="1" applyBorder="1" applyAlignment="1">
      <alignment horizontal="left" vertical="center"/>
    </xf>
    <xf numFmtId="0" fontId="48" fillId="25" borderId="5" xfId="2" applyFont="1" applyFill="1" applyBorder="1" applyAlignment="1">
      <alignment horizontal="left" vertical="center"/>
    </xf>
    <xf numFmtId="0" fontId="48" fillId="25" borderId="6" xfId="2" applyFont="1" applyFill="1" applyBorder="1" applyAlignment="1">
      <alignment horizontal="left" vertical="center"/>
    </xf>
    <xf numFmtId="0" fontId="48" fillId="25" borderId="1" xfId="2" applyFont="1" applyFill="1" applyBorder="1" applyAlignment="1">
      <alignment horizontal="center" vertical="center"/>
    </xf>
    <xf numFmtId="0" fontId="52" fillId="0" borderId="1" xfId="0" applyFont="1" applyBorder="1" applyAlignment="1">
      <alignment vertical="center" wrapText="1"/>
    </xf>
    <xf numFmtId="0" fontId="48" fillId="31" borderId="5" xfId="0" applyFont="1" applyFill="1" applyBorder="1"/>
    <xf numFmtId="0" fontId="48" fillId="31" borderId="6" xfId="0" applyFont="1" applyFill="1" applyBorder="1"/>
    <xf numFmtId="0" fontId="48" fillId="31" borderId="10" xfId="0" applyFont="1" applyFill="1" applyBorder="1"/>
    <xf numFmtId="0" fontId="48" fillId="31" borderId="10" xfId="0" applyFont="1" applyFill="1" applyBorder="1" applyAlignment="1">
      <alignment wrapText="1"/>
    </xf>
    <xf numFmtId="0" fontId="16" fillId="0" borderId="1" xfId="0" applyFont="1" applyBorder="1" applyAlignment="1">
      <alignment vertical="center" wrapText="1"/>
    </xf>
    <xf numFmtId="0" fontId="48" fillId="31" borderId="9" xfId="0" applyFont="1" applyFill="1" applyBorder="1"/>
    <xf numFmtId="0" fontId="52" fillId="0" borderId="1" xfId="0" applyFont="1" applyBorder="1" applyAlignment="1">
      <alignment vertical="center"/>
    </xf>
    <xf numFmtId="0" fontId="10" fillId="5" borderId="1" xfId="0" applyFont="1" applyFill="1" applyBorder="1"/>
    <xf numFmtId="0" fontId="52" fillId="30" borderId="1" xfId="0" applyFont="1" applyFill="1" applyBorder="1" applyAlignment="1">
      <alignment vertical="center" wrapText="1"/>
    </xf>
    <xf numFmtId="0" fontId="0" fillId="27" borderId="1" xfId="0" applyFill="1" applyBorder="1" applyAlignment="1">
      <alignment horizontal="left" vertical="top"/>
    </xf>
    <xf numFmtId="0" fontId="0" fillId="27" borderId="5" xfId="0" applyFill="1" applyBorder="1" applyAlignment="1">
      <alignment horizontal="left" vertical="top"/>
    </xf>
    <xf numFmtId="0" fontId="52" fillId="27" borderId="1" xfId="0" applyFont="1" applyFill="1" applyBorder="1" applyAlignment="1">
      <alignment vertical="center" wrapText="1"/>
    </xf>
    <xf numFmtId="0" fontId="53" fillId="27" borderId="1" xfId="0" applyFont="1" applyFill="1" applyBorder="1" applyAlignment="1">
      <alignment vertical="center" wrapText="1"/>
    </xf>
    <xf numFmtId="0" fontId="54" fillId="32" borderId="1" xfId="0" applyFont="1" applyFill="1" applyBorder="1" applyAlignment="1">
      <alignment vertical="center"/>
    </xf>
    <xf numFmtId="0" fontId="7" fillId="32" borderId="1" xfId="0" applyFont="1" applyFill="1" applyBorder="1" applyAlignment="1">
      <alignment horizontal="center" vertical="center" wrapText="1"/>
    </xf>
    <xf numFmtId="0" fontId="54" fillId="32" borderId="1" xfId="0" applyFont="1" applyFill="1" applyBorder="1" applyAlignment="1">
      <alignment vertical="center" wrapText="1"/>
    </xf>
    <xf numFmtId="0" fontId="10" fillId="0" borderId="20" xfId="3" applyFont="1" applyBorder="1" applyAlignment="1">
      <alignment horizontal="left"/>
    </xf>
    <xf numFmtId="0" fontId="10" fillId="0" borderId="21" xfId="3" applyFont="1" applyBorder="1" applyAlignment="1">
      <alignment horizontal="center"/>
    </xf>
    <xf numFmtId="0" fontId="10" fillId="0" borderId="22" xfId="3" applyFont="1" applyBorder="1" applyAlignment="1">
      <alignment horizontal="center"/>
    </xf>
    <xf numFmtId="0" fontId="10" fillId="0" borderId="23" xfId="3" applyFont="1" applyBorder="1" applyAlignment="1">
      <alignment horizontal="center"/>
    </xf>
    <xf numFmtId="0" fontId="10" fillId="0" borderId="24" xfId="3" applyFont="1" applyBorder="1" applyAlignment="1">
      <alignment horizontal="center"/>
    </xf>
    <xf numFmtId="0" fontId="10" fillId="0" borderId="17" xfId="3" applyFont="1" applyBorder="1" applyAlignment="1">
      <alignment horizontal="center"/>
    </xf>
    <xf numFmtId="0" fontId="10" fillId="0" borderId="19" xfId="3" applyFont="1" applyBorder="1" applyAlignment="1">
      <alignment horizontal="center"/>
    </xf>
    <xf numFmtId="0" fontId="10" fillId="0" borderId="1" xfId="0" applyFont="1" applyBorder="1" applyAlignment="1" applyProtection="1">
      <alignment horizontal="left" vertical="center"/>
      <protection locked="0"/>
    </xf>
    <xf numFmtId="164" fontId="48" fillId="25" borderId="1" xfId="2" applyNumberFormat="1" applyFont="1" applyFill="1" applyBorder="1" applyAlignment="1" applyProtection="1">
      <alignment horizontal="right" vertical="center"/>
      <protection hidden="1"/>
    </xf>
    <xf numFmtId="0" fontId="49" fillId="25" borderId="53" xfId="0" applyFont="1" applyFill="1" applyBorder="1" applyAlignment="1" applyProtection="1">
      <alignment horizontal="left"/>
      <protection locked="0"/>
    </xf>
    <xf numFmtId="0" fontId="49" fillId="25" borderId="1" xfId="0" applyFont="1" applyFill="1" applyBorder="1" applyAlignment="1" applyProtection="1">
      <alignment horizontal="left"/>
      <protection locked="0"/>
    </xf>
    <xf numFmtId="0" fontId="48" fillId="25" borderId="1" xfId="2" applyFont="1" applyFill="1" applyBorder="1" applyAlignment="1" applyProtection="1">
      <alignment horizontal="left" vertical="center"/>
      <protection locked="0"/>
    </xf>
    <xf numFmtId="0" fontId="10" fillId="0" borderId="66" xfId="0" applyFont="1" applyBorder="1" applyAlignment="1" applyProtection="1">
      <alignment horizontal="center" vertical="center"/>
      <protection locked="0"/>
    </xf>
    <xf numFmtId="0" fontId="10" fillId="0" borderId="68" xfId="0" applyFont="1" applyBorder="1" applyAlignment="1" applyProtection="1">
      <alignment horizontal="center" vertical="center"/>
      <protection locked="0"/>
    </xf>
    <xf numFmtId="0" fontId="10" fillId="0" borderId="69" xfId="0" applyFont="1" applyBorder="1" applyAlignment="1" applyProtection="1">
      <alignment horizontal="center" vertical="center"/>
      <protection locked="0"/>
    </xf>
    <xf numFmtId="0" fontId="48" fillId="25" borderId="53" xfId="2" applyFont="1" applyFill="1" applyBorder="1" applyAlignment="1" applyProtection="1">
      <alignment horizontal="center" vertical="center"/>
      <protection locked="0"/>
    </xf>
    <xf numFmtId="0" fontId="47" fillId="25" borderId="61" xfId="0" applyFont="1" applyFill="1" applyBorder="1" applyAlignment="1" applyProtection="1">
      <alignment horizontal="left"/>
      <protection locked="0"/>
    </xf>
    <xf numFmtId="0" fontId="47" fillId="25" borderId="6" xfId="0" applyFont="1" applyFill="1" applyBorder="1" applyAlignment="1" applyProtection="1">
      <alignment horizontal="left"/>
      <protection locked="0"/>
    </xf>
    <xf numFmtId="0" fontId="31" fillId="0" borderId="47" xfId="0" applyFont="1" applyBorder="1" applyAlignment="1" applyProtection="1">
      <alignment horizontal="left" vertical="top"/>
      <protection locked="0"/>
    </xf>
    <xf numFmtId="0" fontId="31" fillId="0" borderId="48" xfId="0" applyFont="1" applyBorder="1" applyAlignment="1" applyProtection="1">
      <alignment horizontal="left" vertical="top"/>
      <protection locked="0"/>
    </xf>
    <xf numFmtId="0" fontId="31" fillId="0" borderId="49" xfId="0" applyFont="1" applyBorder="1" applyAlignment="1" applyProtection="1">
      <alignment horizontal="left" vertical="top"/>
      <protection locked="0"/>
    </xf>
    <xf numFmtId="0" fontId="31" fillId="0" borderId="45" xfId="0" applyFont="1" applyBorder="1" applyAlignment="1" applyProtection="1">
      <alignment horizontal="left" vertical="top"/>
      <protection locked="0"/>
    </xf>
    <xf numFmtId="0" fontId="31" fillId="0" borderId="0" xfId="0" applyFont="1" applyAlignment="1" applyProtection="1">
      <alignment horizontal="left" vertical="top"/>
      <protection locked="0"/>
    </xf>
    <xf numFmtId="0" fontId="31" fillId="0" borderId="46" xfId="0" applyFont="1" applyBorder="1" applyAlignment="1" applyProtection="1">
      <alignment horizontal="left" vertical="top"/>
      <protection locked="0"/>
    </xf>
    <xf numFmtId="0" fontId="31" fillId="0" borderId="50" xfId="0" applyFont="1" applyBorder="1" applyAlignment="1" applyProtection="1">
      <alignment horizontal="left" vertical="top" wrapText="1"/>
      <protection locked="0"/>
    </xf>
    <xf numFmtId="0" fontId="31" fillId="0" borderId="51" xfId="0" applyFont="1" applyBorder="1" applyAlignment="1" applyProtection="1">
      <alignment horizontal="left" vertical="top" wrapText="1"/>
      <protection locked="0"/>
    </xf>
    <xf numFmtId="0" fontId="31" fillId="0" borderId="52" xfId="0" applyFont="1" applyBorder="1" applyAlignment="1" applyProtection="1">
      <alignment horizontal="left" vertical="top" wrapText="1"/>
      <protection locked="0"/>
    </xf>
    <xf numFmtId="0" fontId="31" fillId="0" borderId="45" xfId="0" applyFont="1" applyBorder="1" applyAlignment="1" applyProtection="1">
      <alignment horizontal="center" vertical="top" wrapText="1"/>
      <protection locked="0"/>
    </xf>
    <xf numFmtId="0" fontId="31" fillId="0" borderId="0" xfId="0" applyFont="1" applyAlignment="1" applyProtection="1">
      <alignment horizontal="center" vertical="top" wrapText="1"/>
      <protection locked="0"/>
    </xf>
    <xf numFmtId="0" fontId="31" fillId="0" borderId="46" xfId="0" applyFont="1" applyBorder="1" applyAlignment="1" applyProtection="1">
      <alignment horizontal="center" vertical="top" wrapText="1"/>
      <protection locked="0"/>
    </xf>
    <xf numFmtId="0" fontId="31" fillId="0" borderId="47" xfId="0" applyFont="1" applyBorder="1" applyAlignment="1" applyProtection="1">
      <alignment horizontal="center" vertical="top" wrapText="1"/>
      <protection locked="0"/>
    </xf>
    <xf numFmtId="0" fontId="31" fillId="0" borderId="48" xfId="0" applyFont="1" applyBorder="1" applyAlignment="1" applyProtection="1">
      <alignment horizontal="center" vertical="top" wrapText="1"/>
      <protection locked="0"/>
    </xf>
    <xf numFmtId="0" fontId="31" fillId="0" borderId="49" xfId="0" applyFont="1" applyBorder="1" applyAlignment="1" applyProtection="1">
      <alignment horizontal="center" vertical="top" wrapText="1"/>
      <protection locked="0"/>
    </xf>
    <xf numFmtId="0" fontId="48" fillId="25" borderId="50" xfId="0" applyFont="1" applyFill="1" applyBorder="1" applyAlignment="1" applyProtection="1">
      <alignment horizontal="left" vertical="center"/>
      <protection locked="0"/>
    </xf>
    <xf numFmtId="0" fontId="48" fillId="25" borderId="51" xfId="0" applyFont="1" applyFill="1" applyBorder="1" applyAlignment="1" applyProtection="1">
      <alignment horizontal="left" vertical="center"/>
      <protection locked="0"/>
    </xf>
    <xf numFmtId="0" fontId="48" fillId="25" borderId="53" xfId="0" applyFont="1" applyFill="1" applyBorder="1" applyAlignment="1" applyProtection="1">
      <alignment horizontal="left" vertical="center"/>
      <protection locked="0"/>
    </xf>
    <xf numFmtId="0" fontId="48" fillId="25" borderId="1" xfId="0" applyFont="1" applyFill="1" applyBorder="1" applyAlignment="1" applyProtection="1">
      <alignment horizontal="left" vertical="center"/>
      <protection locked="0"/>
    </xf>
    <xf numFmtId="0" fontId="47" fillId="25" borderId="53" xfId="0" applyFont="1" applyFill="1" applyBorder="1" applyAlignment="1" applyProtection="1">
      <alignment horizontal="left"/>
      <protection locked="0"/>
    </xf>
    <xf numFmtId="0" fontId="47" fillId="25" borderId="1" xfId="0" applyFont="1" applyFill="1" applyBorder="1" applyAlignment="1" applyProtection="1">
      <alignment horizontal="left"/>
      <protection locked="0"/>
    </xf>
    <xf numFmtId="0" fontId="48" fillId="6" borderId="16" xfId="0" applyFont="1" applyFill="1" applyBorder="1" applyAlignment="1" applyProtection="1">
      <alignment horizontal="center" vertical="center"/>
      <protection locked="0"/>
    </xf>
    <xf numFmtId="0" fontId="48" fillId="6" borderId="0" xfId="0" applyFont="1" applyFill="1" applyAlignment="1" applyProtection="1">
      <alignment horizontal="center" vertical="center"/>
      <protection locked="0"/>
    </xf>
    <xf numFmtId="14" fontId="48" fillId="6" borderId="16" xfId="0" applyNumberFormat="1" applyFont="1" applyFill="1" applyBorder="1" applyAlignment="1" applyProtection="1">
      <alignment horizontal="center" vertical="center"/>
      <protection locked="0"/>
    </xf>
    <xf numFmtId="0" fontId="48" fillId="25" borderId="55" xfId="0" applyFont="1" applyFill="1" applyBorder="1" applyAlignment="1" applyProtection="1">
      <alignment horizontal="left" vertical="center"/>
      <protection locked="0"/>
    </xf>
    <xf numFmtId="0" fontId="48" fillId="25" borderId="56" xfId="0" applyFont="1" applyFill="1" applyBorder="1" applyAlignment="1" applyProtection="1">
      <alignment horizontal="left" vertical="center"/>
      <protection locked="0"/>
    </xf>
    <xf numFmtId="0" fontId="9" fillId="6" borderId="53" xfId="0" applyFont="1" applyFill="1" applyBorder="1" applyAlignment="1" applyProtection="1">
      <alignment horizontal="center" vertical="center"/>
      <protection locked="0"/>
    </xf>
    <xf numFmtId="0" fontId="9" fillId="6" borderId="1" xfId="0" applyFont="1" applyFill="1" applyBorder="1" applyAlignment="1" applyProtection="1">
      <alignment horizontal="center" vertical="center" wrapText="1"/>
      <protection locked="0"/>
    </xf>
    <xf numFmtId="0" fontId="47" fillId="25" borderId="50" xfId="0" applyFont="1" applyFill="1" applyBorder="1" applyAlignment="1" applyProtection="1">
      <alignment horizontal="left"/>
      <protection locked="0"/>
    </xf>
    <xf numFmtId="0" fontId="47" fillId="25" borderId="51" xfId="0" applyFont="1" applyFill="1" applyBorder="1" applyAlignment="1" applyProtection="1">
      <alignment horizontal="left"/>
      <protection locked="0"/>
    </xf>
    <xf numFmtId="0" fontId="9" fillId="6" borderId="1" xfId="0" applyFont="1" applyFill="1" applyBorder="1" applyAlignment="1" applyProtection="1">
      <alignment horizontal="center" vertical="center"/>
      <protection locked="0"/>
    </xf>
    <xf numFmtId="0" fontId="47" fillId="25" borderId="42" xfId="0" applyFont="1" applyFill="1" applyBorder="1" applyAlignment="1" applyProtection="1">
      <alignment horizontal="center"/>
      <protection locked="0"/>
    </xf>
    <xf numFmtId="0" fontId="47" fillId="25" borderId="44" xfId="0" applyFont="1" applyFill="1" applyBorder="1" applyAlignment="1" applyProtection="1">
      <alignment horizontal="center"/>
      <protection locked="0"/>
    </xf>
    <xf numFmtId="0" fontId="49" fillId="25" borderId="55" xfId="0" applyFont="1" applyFill="1" applyBorder="1" applyAlignment="1" applyProtection="1">
      <alignment horizontal="left"/>
      <protection locked="0"/>
    </xf>
    <xf numFmtId="0" fontId="49" fillId="25" borderId="56" xfId="0" applyFont="1" applyFill="1" applyBorder="1" applyAlignment="1" applyProtection="1">
      <alignment horizontal="left"/>
      <protection locked="0"/>
    </xf>
    <xf numFmtId="0" fontId="47" fillId="25" borderId="58" xfId="0" applyFont="1" applyFill="1" applyBorder="1" applyAlignment="1" applyProtection="1">
      <alignment horizontal="left"/>
      <protection locked="0"/>
    </xf>
    <xf numFmtId="0" fontId="47" fillId="25" borderId="59" xfId="0" applyFont="1" applyFill="1" applyBorder="1" applyAlignment="1" applyProtection="1">
      <alignment horizontal="left"/>
      <protection locked="0"/>
    </xf>
    <xf numFmtId="0" fontId="47" fillId="25" borderId="60" xfId="0" applyFont="1" applyFill="1" applyBorder="1" applyAlignment="1" applyProtection="1">
      <alignment horizontal="left"/>
      <protection locked="0"/>
    </xf>
    <xf numFmtId="0" fontId="47" fillId="25" borderId="5" xfId="0" applyFont="1" applyFill="1" applyBorder="1" applyAlignment="1" applyProtection="1">
      <alignment horizontal="left"/>
      <protection locked="0"/>
    </xf>
    <xf numFmtId="0" fontId="47" fillId="25" borderId="41" xfId="0" applyFont="1" applyFill="1" applyBorder="1" applyAlignment="1" applyProtection="1">
      <alignment horizontal="left"/>
      <protection locked="0"/>
    </xf>
    <xf numFmtId="0" fontId="50" fillId="25" borderId="53" xfId="0" applyFont="1" applyFill="1" applyBorder="1" applyAlignment="1" applyProtection="1">
      <alignment horizontal="left"/>
      <protection locked="0"/>
    </xf>
    <xf numFmtId="0" fontId="50" fillId="25" borderId="1" xfId="0" applyFont="1" applyFill="1" applyBorder="1" applyAlignment="1" applyProtection="1">
      <alignment horizontal="left"/>
      <protection locked="0"/>
    </xf>
    <xf numFmtId="164" fontId="9" fillId="25" borderId="1" xfId="2" applyNumberFormat="1" applyFont="1" applyFill="1" applyBorder="1" applyAlignment="1" applyProtection="1">
      <alignment horizontal="right" vertical="center"/>
      <protection hidden="1"/>
    </xf>
    <xf numFmtId="164" fontId="9" fillId="25" borderId="56" xfId="2" applyNumberFormat="1" applyFont="1" applyFill="1" applyBorder="1" applyAlignment="1" applyProtection="1">
      <alignment horizontal="right" vertical="center"/>
      <protection hidden="1"/>
    </xf>
    <xf numFmtId="0" fontId="9" fillId="25" borderId="1" xfId="2" applyFont="1" applyFill="1" applyBorder="1" applyAlignment="1" applyProtection="1">
      <alignment horizontal="left" vertical="center"/>
      <protection locked="0"/>
    </xf>
    <xf numFmtId="0" fontId="9" fillId="25" borderId="56" xfId="2" applyFont="1" applyFill="1" applyBorder="1" applyAlignment="1" applyProtection="1">
      <alignment horizontal="left" vertical="center"/>
      <protection locked="0"/>
    </xf>
    <xf numFmtId="0" fontId="9" fillId="25" borderId="53" xfId="2" applyFont="1" applyFill="1" applyBorder="1" applyAlignment="1" applyProtection="1">
      <alignment horizontal="center" vertical="center"/>
      <protection locked="0"/>
    </xf>
    <xf numFmtId="0" fontId="9" fillId="25" borderId="55" xfId="2" applyFont="1" applyFill="1" applyBorder="1" applyAlignment="1" applyProtection="1">
      <alignment horizontal="center" vertical="center"/>
      <protection locked="0"/>
    </xf>
    <xf numFmtId="0" fontId="48" fillId="25" borderId="58" xfId="0" applyFont="1" applyFill="1" applyBorder="1" applyAlignment="1" applyProtection="1">
      <alignment horizontal="center"/>
      <protection locked="0"/>
    </xf>
    <xf numFmtId="0" fontId="48" fillId="25" borderId="59" xfId="0" applyFont="1" applyFill="1" applyBorder="1" applyAlignment="1" applyProtection="1">
      <alignment horizontal="center"/>
      <protection locked="0"/>
    </xf>
    <xf numFmtId="0" fontId="48" fillId="25" borderId="71" xfId="0" applyFont="1" applyFill="1" applyBorder="1" applyAlignment="1" applyProtection="1">
      <alignment horizontal="center"/>
      <protection locked="0"/>
    </xf>
    <xf numFmtId="0" fontId="31" fillId="0" borderId="45" xfId="0" applyFont="1" applyBorder="1" applyAlignment="1" applyProtection="1">
      <alignment horizontal="left" vertical="top" wrapText="1"/>
      <protection locked="0"/>
    </xf>
    <xf numFmtId="0" fontId="31" fillId="0" borderId="0" xfId="0" applyFont="1" applyAlignment="1" applyProtection="1">
      <alignment horizontal="left" vertical="top" wrapText="1"/>
      <protection locked="0"/>
    </xf>
    <xf numFmtId="0" fontId="31" fillId="0" borderId="46" xfId="0" applyFont="1" applyBorder="1" applyAlignment="1" applyProtection="1">
      <alignment horizontal="left" vertical="top" wrapText="1"/>
      <protection locked="0"/>
    </xf>
    <xf numFmtId="0" fontId="9" fillId="25" borderId="1" xfId="0" applyFont="1" applyFill="1" applyBorder="1" applyAlignment="1" applyProtection="1">
      <alignment horizontal="left" vertical="center"/>
      <protection locked="0"/>
    </xf>
    <xf numFmtId="164" fontId="9" fillId="25" borderId="1" xfId="0" applyNumberFormat="1" applyFont="1" applyFill="1" applyBorder="1" applyAlignment="1" applyProtection="1">
      <alignment horizontal="right" vertical="center"/>
      <protection locked="0"/>
    </xf>
    <xf numFmtId="0" fontId="7" fillId="5" borderId="1" xfId="0" applyFont="1" applyFill="1" applyBorder="1" applyAlignment="1" applyProtection="1">
      <alignment horizontal="left" vertical="center"/>
      <protection locked="0"/>
    </xf>
    <xf numFmtId="0" fontId="9" fillId="25" borderId="1" xfId="0" applyFont="1" applyFill="1" applyBorder="1" applyAlignment="1" applyProtection="1">
      <alignment horizontal="center" vertical="center"/>
      <protection locked="0"/>
    </xf>
    <xf numFmtId="0" fontId="10" fillId="25" borderId="4" xfId="0" applyFont="1" applyFill="1" applyBorder="1" applyAlignment="1" applyProtection="1">
      <alignment horizontal="left" vertical="center"/>
      <protection locked="0"/>
    </xf>
    <xf numFmtId="0" fontId="10" fillId="25" borderId="5" xfId="0" applyFont="1" applyFill="1" applyBorder="1" applyAlignment="1" applyProtection="1">
      <alignment horizontal="left" vertical="center"/>
      <protection locked="0"/>
    </xf>
    <xf numFmtId="0" fontId="10" fillId="25" borderId="6" xfId="0" applyFont="1" applyFill="1" applyBorder="1" applyAlignment="1" applyProtection="1">
      <alignment horizontal="left" vertical="center"/>
      <protection locked="0"/>
    </xf>
    <xf numFmtId="0" fontId="31" fillId="0" borderId="47" xfId="0" applyFont="1" applyBorder="1" applyAlignment="1" applyProtection="1">
      <alignment horizontal="left" vertical="top" wrapText="1"/>
      <protection locked="0"/>
    </xf>
    <xf numFmtId="0" fontId="31" fillId="0" borderId="48" xfId="0" applyFont="1" applyBorder="1" applyAlignment="1" applyProtection="1">
      <alignment horizontal="left" vertical="top" wrapText="1"/>
      <protection locked="0"/>
    </xf>
    <xf numFmtId="0" fontId="31" fillId="0" borderId="49" xfId="0" applyFont="1" applyBorder="1" applyAlignment="1" applyProtection="1">
      <alignment horizontal="left" vertical="top" wrapText="1"/>
      <protection locked="0"/>
    </xf>
    <xf numFmtId="0" fontId="30" fillId="0" borderId="50" xfId="0" applyFont="1" applyBorder="1" applyAlignment="1" applyProtection="1">
      <alignment horizontal="left" vertical="top"/>
      <protection locked="0"/>
    </xf>
    <xf numFmtId="0" fontId="30" fillId="0" borderId="51" xfId="0" applyFont="1" applyBorder="1" applyAlignment="1" applyProtection="1">
      <alignment horizontal="left" vertical="top"/>
      <protection locked="0"/>
    </xf>
    <xf numFmtId="0" fontId="30" fillId="0" borderId="52" xfId="0" applyFont="1" applyBorder="1" applyAlignment="1" applyProtection="1">
      <alignment horizontal="left" vertical="top"/>
      <protection locked="0"/>
    </xf>
    <xf numFmtId="164" fontId="0" fillId="25" borderId="4" xfId="0" applyNumberFormat="1" applyFill="1" applyBorder="1" applyAlignment="1">
      <alignment horizontal="center"/>
    </xf>
    <xf numFmtId="164" fontId="0" fillId="25" borderId="6" xfId="0" applyNumberFormat="1" applyFill="1" applyBorder="1" applyAlignment="1">
      <alignment horizontal="center"/>
    </xf>
    <xf numFmtId="0" fontId="0" fillId="26" borderId="52" xfId="0" applyFill="1" applyBorder="1" applyAlignment="1">
      <alignment horizontal="center" vertical="center"/>
    </xf>
    <xf numFmtId="0" fontId="0" fillId="26" borderId="54" xfId="0" applyFill="1" applyBorder="1" applyAlignment="1">
      <alignment horizontal="center" vertical="center"/>
    </xf>
    <xf numFmtId="0" fontId="0" fillId="26" borderId="57" xfId="0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164" fontId="0" fillId="25" borderId="7" xfId="0" applyNumberFormat="1" applyFill="1" applyBorder="1" applyAlignment="1">
      <alignment horizontal="center" vertical="center"/>
    </xf>
    <xf numFmtId="164" fontId="0" fillId="25" borderId="3" xfId="0" applyNumberFormat="1" applyFill="1" applyBorder="1" applyAlignment="1">
      <alignment horizontal="center" vertical="center"/>
    </xf>
    <xf numFmtId="0" fontId="0" fillId="25" borderId="4" xfId="0" applyFill="1" applyBorder="1" applyAlignment="1">
      <alignment horizontal="center" vertical="center"/>
    </xf>
    <xf numFmtId="0" fontId="0" fillId="25" borderId="6" xfId="0" applyFill="1" applyBorder="1" applyAlignment="1">
      <alignment horizontal="center" vertical="center"/>
    </xf>
    <xf numFmtId="164" fontId="0" fillId="25" borderId="4" xfId="0" applyNumberFormat="1" applyFill="1" applyBorder="1" applyAlignment="1">
      <alignment horizontal="center" vertical="center"/>
    </xf>
    <xf numFmtId="164" fontId="0" fillId="25" borderId="6" xfId="0" applyNumberForma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13" fillId="15" borderId="4" xfId="0" applyFont="1" applyFill="1" applyBorder="1" applyAlignment="1">
      <alignment horizontal="center"/>
    </xf>
    <xf numFmtId="0" fontId="13" fillId="15" borderId="5" xfId="0" applyFont="1" applyFill="1" applyBorder="1" applyAlignment="1">
      <alignment horizontal="center"/>
    </xf>
    <xf numFmtId="0" fontId="13" fillId="15" borderId="6" xfId="0" applyFont="1" applyFill="1" applyBorder="1" applyAlignment="1">
      <alignment horizontal="center"/>
    </xf>
    <xf numFmtId="0" fontId="13" fillId="20" borderId="4" xfId="0" applyFont="1" applyFill="1" applyBorder="1" applyAlignment="1">
      <alignment horizontal="center"/>
    </xf>
    <xf numFmtId="0" fontId="13" fillId="20" borderId="5" xfId="0" applyFont="1" applyFill="1" applyBorder="1" applyAlignment="1">
      <alignment horizontal="center"/>
    </xf>
    <xf numFmtId="0" fontId="13" fillId="20" borderId="6" xfId="0" applyFont="1" applyFill="1" applyBorder="1" applyAlignment="1">
      <alignment horizontal="center"/>
    </xf>
    <xf numFmtId="0" fontId="13" fillId="20" borderId="11" xfId="0" applyFont="1" applyFill="1" applyBorder="1" applyAlignment="1">
      <alignment horizontal="center"/>
    </xf>
    <xf numFmtId="0" fontId="13" fillId="20" borderId="12" xfId="0" applyFont="1" applyFill="1" applyBorder="1" applyAlignment="1">
      <alignment horizontal="center"/>
    </xf>
    <xf numFmtId="0" fontId="13" fillId="20" borderId="13" xfId="0" applyFont="1" applyFill="1" applyBorder="1" applyAlignment="1">
      <alignment horizontal="center"/>
    </xf>
    <xf numFmtId="0" fontId="13" fillId="20" borderId="16" xfId="0" applyFont="1" applyFill="1" applyBorder="1" applyAlignment="1">
      <alignment horizontal="center"/>
    </xf>
    <xf numFmtId="0" fontId="13" fillId="20" borderId="0" xfId="0" applyFont="1" applyFill="1" applyAlignment="1">
      <alignment horizontal="center"/>
    </xf>
    <xf numFmtId="0" fontId="13" fillId="20" borderId="15" xfId="0" applyFont="1" applyFill="1" applyBorder="1" applyAlignment="1">
      <alignment horizontal="center"/>
    </xf>
    <xf numFmtId="0" fontId="13" fillId="20" borderId="8" xfId="0" applyFont="1" applyFill="1" applyBorder="1" applyAlignment="1">
      <alignment horizontal="center"/>
    </xf>
    <xf numFmtId="0" fontId="13" fillId="20" borderId="9" xfId="0" applyFont="1" applyFill="1" applyBorder="1" applyAlignment="1">
      <alignment horizontal="center"/>
    </xf>
    <xf numFmtId="0" fontId="13" fillId="20" borderId="10" xfId="0" applyFont="1" applyFill="1" applyBorder="1" applyAlignment="1">
      <alignment horizontal="center"/>
    </xf>
    <xf numFmtId="0" fontId="13" fillId="24" borderId="4" xfId="0" applyFont="1" applyFill="1" applyBorder="1" applyAlignment="1">
      <alignment horizontal="center"/>
    </xf>
    <xf numFmtId="0" fontId="13" fillId="24" borderId="5" xfId="0" applyFont="1" applyFill="1" applyBorder="1" applyAlignment="1">
      <alignment horizontal="center"/>
    </xf>
    <xf numFmtId="0" fontId="13" fillId="24" borderId="6" xfId="0" applyFont="1" applyFill="1" applyBorder="1" applyAlignment="1">
      <alignment horizontal="center"/>
    </xf>
    <xf numFmtId="0" fontId="13" fillId="23" borderId="11" xfId="0" applyFont="1" applyFill="1" applyBorder="1" applyAlignment="1">
      <alignment horizontal="center"/>
    </xf>
    <xf numFmtId="0" fontId="13" fillId="23" borderId="12" xfId="0" applyFont="1" applyFill="1" applyBorder="1" applyAlignment="1">
      <alignment horizontal="center"/>
    </xf>
    <xf numFmtId="0" fontId="13" fillId="23" borderId="13" xfId="0" applyFont="1" applyFill="1" applyBorder="1" applyAlignment="1">
      <alignment horizontal="center"/>
    </xf>
    <xf numFmtId="0" fontId="13" fillId="23" borderId="16" xfId="0" applyFont="1" applyFill="1" applyBorder="1" applyAlignment="1">
      <alignment horizontal="center"/>
    </xf>
    <xf numFmtId="0" fontId="13" fillId="23" borderId="0" xfId="0" applyFont="1" applyFill="1" applyAlignment="1">
      <alignment horizontal="center"/>
    </xf>
    <xf numFmtId="0" fontId="13" fillId="23" borderId="15" xfId="0" applyFont="1" applyFill="1" applyBorder="1" applyAlignment="1">
      <alignment horizontal="center"/>
    </xf>
    <xf numFmtId="0" fontId="13" fillId="23" borderId="8" xfId="0" applyFont="1" applyFill="1" applyBorder="1" applyAlignment="1">
      <alignment horizontal="center"/>
    </xf>
    <xf numFmtId="0" fontId="13" fillId="23" borderId="9" xfId="0" applyFont="1" applyFill="1" applyBorder="1" applyAlignment="1">
      <alignment horizontal="center"/>
    </xf>
    <xf numFmtId="0" fontId="13" fillId="23" borderId="10" xfId="0" applyFont="1" applyFill="1" applyBorder="1" applyAlignment="1">
      <alignment horizontal="center"/>
    </xf>
    <xf numFmtId="0" fontId="44" fillId="23" borderId="11" xfId="0" applyFont="1" applyFill="1" applyBorder="1" applyAlignment="1">
      <alignment horizontal="center"/>
    </xf>
    <xf numFmtId="0" fontId="44" fillId="23" borderId="12" xfId="0" applyFont="1" applyFill="1" applyBorder="1" applyAlignment="1">
      <alignment horizontal="center"/>
    </xf>
    <xf numFmtId="0" fontId="44" fillId="23" borderId="8" xfId="0" applyFont="1" applyFill="1" applyBorder="1" applyAlignment="1">
      <alignment horizontal="center"/>
    </xf>
    <xf numFmtId="0" fontId="44" fillId="23" borderId="9" xfId="0" applyFont="1" applyFill="1" applyBorder="1" applyAlignment="1">
      <alignment horizontal="center"/>
    </xf>
    <xf numFmtId="0" fontId="13" fillId="8" borderId="4" xfId="0" applyFont="1" applyFill="1" applyBorder="1" applyAlignment="1">
      <alignment horizontal="center" vertical="center"/>
    </xf>
    <xf numFmtId="0" fontId="13" fillId="8" borderId="5" xfId="0" applyFont="1" applyFill="1" applyBorder="1" applyAlignment="1">
      <alignment horizontal="center" vertical="center"/>
    </xf>
    <xf numFmtId="0" fontId="13" fillId="8" borderId="6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 wrapText="1"/>
    </xf>
    <xf numFmtId="0" fontId="15" fillId="4" borderId="7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 wrapText="1"/>
    </xf>
    <xf numFmtId="0" fontId="13" fillId="30" borderId="11" xfId="0" applyFont="1" applyFill="1" applyBorder="1" applyAlignment="1">
      <alignment horizontal="center" vertical="center" wrapText="1"/>
    </xf>
    <xf numFmtId="0" fontId="13" fillId="30" borderId="12" xfId="0" applyFont="1" applyFill="1" applyBorder="1" applyAlignment="1">
      <alignment horizontal="center" vertical="center" wrapText="1"/>
    </xf>
    <xf numFmtId="0" fontId="13" fillId="30" borderId="13" xfId="0" applyFont="1" applyFill="1" applyBorder="1" applyAlignment="1">
      <alignment horizontal="center" vertical="center" wrapText="1"/>
    </xf>
    <xf numFmtId="0" fontId="13" fillId="30" borderId="8" xfId="0" applyFont="1" applyFill="1" applyBorder="1" applyAlignment="1">
      <alignment horizontal="center" vertical="center" wrapText="1"/>
    </xf>
    <xf numFmtId="0" fontId="13" fillId="30" borderId="9" xfId="0" applyFont="1" applyFill="1" applyBorder="1" applyAlignment="1">
      <alignment horizontal="center" vertical="center" wrapText="1"/>
    </xf>
    <xf numFmtId="0" fontId="13" fillId="30" borderId="10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wrapText="1"/>
    </xf>
    <xf numFmtId="0" fontId="13" fillId="5" borderId="12" xfId="0" applyFont="1" applyFill="1" applyBorder="1" applyAlignment="1">
      <alignment horizontal="center" vertical="center" wrapText="1"/>
    </xf>
    <xf numFmtId="0" fontId="13" fillId="5" borderId="13" xfId="0" applyFont="1" applyFill="1" applyBorder="1" applyAlignment="1">
      <alignment horizontal="center" vertical="center" wrapText="1"/>
    </xf>
    <xf numFmtId="0" fontId="13" fillId="5" borderId="8" xfId="0" applyFont="1" applyFill="1" applyBorder="1" applyAlignment="1">
      <alignment horizontal="center" vertical="center" wrapText="1"/>
    </xf>
    <xf numFmtId="0" fontId="13" fillId="5" borderId="9" xfId="0" applyFont="1" applyFill="1" applyBorder="1" applyAlignment="1">
      <alignment horizontal="center" vertical="center" wrapText="1"/>
    </xf>
    <xf numFmtId="0" fontId="13" fillId="5" borderId="10" xfId="0" applyFont="1" applyFill="1" applyBorder="1" applyAlignment="1">
      <alignment horizontal="center" vertical="center" wrapText="1"/>
    </xf>
    <xf numFmtId="0" fontId="14" fillId="2" borderId="4" xfId="0" applyFont="1" applyFill="1" applyBorder="1" applyAlignment="1">
      <alignment horizontal="center"/>
    </xf>
    <xf numFmtId="0" fontId="14" fillId="2" borderId="5" xfId="0" applyFont="1" applyFill="1" applyBorder="1" applyAlignment="1">
      <alignment horizontal="center"/>
    </xf>
    <xf numFmtId="0" fontId="14" fillId="2" borderId="4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3" fillId="30" borderId="1" xfId="0" applyFont="1" applyFill="1" applyBorder="1" applyAlignment="1">
      <alignment horizontal="center" vertical="center"/>
    </xf>
    <xf numFmtId="0" fontId="13" fillId="30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/>
    </xf>
    <xf numFmtId="0" fontId="13" fillId="23" borderId="4" xfId="0" applyFont="1" applyFill="1" applyBorder="1" applyAlignment="1">
      <alignment horizontal="center" vertical="center"/>
    </xf>
    <xf numFmtId="0" fontId="13" fillId="23" borderId="5" xfId="0" applyFont="1" applyFill="1" applyBorder="1" applyAlignment="1">
      <alignment horizontal="center" vertical="center"/>
    </xf>
    <xf numFmtId="0" fontId="13" fillId="23" borderId="6" xfId="0" applyFont="1" applyFill="1" applyBorder="1" applyAlignment="1">
      <alignment horizontal="center" vertical="center"/>
    </xf>
    <xf numFmtId="164" fontId="28" fillId="5" borderId="12" xfId="0" applyNumberFormat="1" applyFont="1" applyFill="1" applyBorder="1" applyAlignment="1">
      <alignment horizontal="center"/>
    </xf>
    <xf numFmtId="0" fontId="13" fillId="20" borderId="4" xfId="0" applyFont="1" applyFill="1" applyBorder="1" applyAlignment="1">
      <alignment horizontal="center" vertical="center"/>
    </xf>
    <xf numFmtId="0" fontId="13" fillId="20" borderId="5" xfId="0" applyFont="1" applyFill="1" applyBorder="1" applyAlignment="1">
      <alignment horizontal="center" vertical="center"/>
    </xf>
    <xf numFmtId="0" fontId="13" fillId="20" borderId="6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center"/>
    </xf>
    <xf numFmtId="0" fontId="13" fillId="13" borderId="5" xfId="0" applyFont="1" applyFill="1" applyBorder="1" applyAlignment="1">
      <alignment horizontal="center"/>
    </xf>
    <xf numFmtId="0" fontId="13" fillId="13" borderId="6" xfId="0" applyFont="1" applyFill="1" applyBorder="1" applyAlignment="1">
      <alignment horizontal="center"/>
    </xf>
    <xf numFmtId="0" fontId="13" fillId="21" borderId="5" xfId="0" applyFont="1" applyFill="1" applyBorder="1" applyAlignment="1">
      <alignment horizontal="center"/>
    </xf>
    <xf numFmtId="0" fontId="13" fillId="21" borderId="6" xfId="0" applyFont="1" applyFill="1" applyBorder="1" applyAlignment="1">
      <alignment horizontal="center"/>
    </xf>
    <xf numFmtId="0" fontId="8" fillId="9" borderId="4" xfId="2" applyFont="1" applyFill="1" applyBorder="1" applyAlignment="1">
      <alignment horizontal="center"/>
    </xf>
    <xf numFmtId="0" fontId="8" fillId="9" borderId="5" xfId="2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36" fillId="0" borderId="34" xfId="0" applyFont="1" applyBorder="1" applyAlignment="1">
      <alignment horizontal="left" vertical="top"/>
    </xf>
    <xf numFmtId="0" fontId="13" fillId="0" borderId="34" xfId="0" applyFont="1" applyBorder="1" applyAlignment="1">
      <alignment horizontal="left" vertical="top"/>
    </xf>
    <xf numFmtId="0" fontId="13" fillId="0" borderId="26" xfId="0" applyFont="1" applyBorder="1" applyAlignment="1">
      <alignment horizontal="left" vertical="top"/>
    </xf>
    <xf numFmtId="0" fontId="36" fillId="0" borderId="31" xfId="0" applyFont="1" applyBorder="1" applyAlignment="1">
      <alignment horizontal="left" vertical="top" indent="1"/>
    </xf>
    <xf numFmtId="0" fontId="13" fillId="0" borderId="30" xfId="0" applyFont="1" applyBorder="1" applyAlignment="1">
      <alignment horizontal="left" vertical="top" wrapText="1"/>
    </xf>
    <xf numFmtId="0" fontId="13" fillId="0" borderId="14" xfId="0" applyFont="1" applyBorder="1" applyAlignment="1">
      <alignment horizontal="left" vertical="top" wrapText="1"/>
    </xf>
    <xf numFmtId="0" fontId="13" fillId="0" borderId="38" xfId="0" applyFont="1" applyBorder="1" applyAlignment="1">
      <alignment horizontal="left" vertical="top" wrapText="1"/>
    </xf>
    <xf numFmtId="0" fontId="13" fillId="0" borderId="31" xfId="0" applyFont="1" applyBorder="1" applyAlignment="1">
      <alignment horizontal="left" vertical="top"/>
    </xf>
    <xf numFmtId="0" fontId="13" fillId="0" borderId="25" xfId="0" applyFont="1" applyBorder="1" applyAlignment="1">
      <alignment horizontal="left" vertical="top"/>
    </xf>
    <xf numFmtId="0" fontId="13" fillId="0" borderId="31" xfId="0" applyFont="1" applyBorder="1" applyAlignment="1">
      <alignment horizontal="left" vertical="top" wrapText="1"/>
    </xf>
    <xf numFmtId="0" fontId="13" fillId="0" borderId="25" xfId="0" applyFont="1" applyBorder="1" applyAlignment="1">
      <alignment horizontal="left" vertical="top" wrapText="1"/>
    </xf>
    <xf numFmtId="0" fontId="36" fillId="0" borderId="39" xfId="0" applyFont="1" applyBorder="1" applyAlignment="1">
      <alignment horizontal="left" vertical="top"/>
    </xf>
    <xf numFmtId="0" fontId="13" fillId="0" borderId="39" xfId="0" applyFont="1" applyBorder="1" applyAlignment="1">
      <alignment horizontal="left" vertical="top"/>
    </xf>
    <xf numFmtId="0" fontId="13" fillId="0" borderId="40" xfId="0" applyFont="1" applyBorder="1" applyAlignment="1">
      <alignment horizontal="left" vertical="top"/>
    </xf>
    <xf numFmtId="0" fontId="36" fillId="9" borderId="35" xfId="0" applyFont="1" applyFill="1" applyBorder="1" applyAlignment="1">
      <alignment horizontal="center"/>
    </xf>
    <xf numFmtId="0" fontId="36" fillId="9" borderId="33" xfId="0" applyFont="1" applyFill="1" applyBorder="1" applyAlignment="1">
      <alignment horizontal="center"/>
    </xf>
    <xf numFmtId="0" fontId="36" fillId="0" borderId="31" xfId="0" applyFont="1" applyBorder="1" applyAlignment="1">
      <alignment horizontal="left" vertical="top"/>
    </xf>
    <xf numFmtId="0" fontId="13" fillId="5" borderId="32" xfId="0" applyFont="1" applyFill="1" applyBorder="1" applyAlignment="1">
      <alignment horizontal="left" vertical="top"/>
    </xf>
    <xf numFmtId="0" fontId="13" fillId="5" borderId="28" xfId="0" applyFont="1" applyFill="1" applyBorder="1" applyAlignment="1">
      <alignment horizontal="left" vertical="top"/>
    </xf>
    <xf numFmtId="0" fontId="28" fillId="5" borderId="36" xfId="0" applyFont="1" applyFill="1" applyBorder="1" applyAlignment="1">
      <alignment horizontal="left"/>
    </xf>
    <xf numFmtId="0" fontId="28" fillId="5" borderId="29" xfId="0" applyFont="1" applyFill="1" applyBorder="1" applyAlignment="1">
      <alignment horizontal="left"/>
    </xf>
    <xf numFmtId="0" fontId="28" fillId="5" borderId="37" xfId="0" applyFont="1" applyFill="1" applyBorder="1" applyAlignment="1">
      <alignment horizontal="left"/>
    </xf>
    <xf numFmtId="0" fontId="36" fillId="0" borderId="32" xfId="0" applyFont="1" applyBorder="1" applyAlignment="1">
      <alignment horizontal="left" vertical="top"/>
    </xf>
    <xf numFmtId="0" fontId="13" fillId="0" borderId="32" xfId="0" applyFont="1" applyBorder="1" applyAlignment="1">
      <alignment horizontal="left" vertical="top"/>
    </xf>
    <xf numFmtId="0" fontId="13" fillId="0" borderId="28" xfId="0" applyFont="1" applyBorder="1" applyAlignment="1">
      <alignment horizontal="left" vertical="top"/>
    </xf>
    <xf numFmtId="0" fontId="16" fillId="25" borderId="1" xfId="0" applyFont="1" applyFill="1" applyBorder="1"/>
    <xf numFmtId="0" fontId="7" fillId="25" borderId="1" xfId="0" applyFont="1" applyFill="1" applyBorder="1"/>
    <xf numFmtId="0" fontId="7" fillId="25" borderId="10" xfId="0" applyFont="1" applyFill="1" applyBorder="1"/>
    <xf numFmtId="0" fontId="0" fillId="25" borderId="1" xfId="0" applyFill="1" applyBorder="1"/>
    <xf numFmtId="0" fontId="52" fillId="25" borderId="1" xfId="0" applyFont="1" applyFill="1" applyBorder="1" applyAlignment="1">
      <alignment vertical="center" wrapText="1"/>
    </xf>
  </cellXfs>
  <cellStyles count="6">
    <cellStyle name="Hipervínculo" xfId="1" builtinId="8"/>
    <cellStyle name="Normal" xfId="0" builtinId="0"/>
    <cellStyle name="Normal 2" xfId="2" xr:uid="{29E760B3-D822-46A7-9E45-E4035944AEA7}"/>
    <cellStyle name="Normal 2 2" xfId="5" xr:uid="{F0C976EC-38D0-4B22-A635-81B09F1EC147}"/>
    <cellStyle name="Normal 3" xfId="3" xr:uid="{CA25D789-DA7D-44F3-8B89-540666617EEC}"/>
    <cellStyle name="Normal 3 2" xfId="4" xr:uid="{5363A63A-E1AC-4D0B-9B79-D08B9CEF6385}"/>
  </cellStyles>
  <dxfs count="7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border>
        <top style="thin">
          <color auto="1"/>
        </top>
        <vertical/>
        <horizontal/>
      </border>
    </dxf>
    <dxf>
      <font>
        <color theme="0"/>
      </font>
      <border>
        <left/>
        <right/>
        <top/>
        <bottom style="thin">
          <color auto="1"/>
        </bottom>
        <vertical/>
        <horizontal/>
      </border>
    </dxf>
    <dxf>
      <border>
        <top style="thin">
          <color auto="1"/>
        </top>
        <vertical/>
        <horizontal/>
      </border>
    </dxf>
    <dxf>
      <font>
        <color theme="0"/>
      </font>
      <border>
        <left/>
        <right/>
        <top/>
        <bottom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vertical/>
        <horizontal/>
      </border>
    </dxf>
    <dxf>
      <font>
        <color theme="0"/>
      </font>
      <border>
        <left/>
        <right/>
        <top style="thin">
          <color auto="1"/>
        </top>
        <bottom/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numFmt numFmtId="165" formatCode=";;;"/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numFmt numFmtId="165" formatCode=";;;"/>
      <border>
        <top style="thin">
          <color auto="1"/>
        </top>
        <vertical/>
        <horizontal/>
      </border>
    </dxf>
    <dxf>
      <numFmt numFmtId="165" formatCode=";;;"/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numFmt numFmtId="165" formatCode=";;;"/>
      <border>
        <top style="thin">
          <color auto="1"/>
        </top>
        <vertical/>
        <horizontal/>
      </border>
    </dxf>
    <dxf>
      <numFmt numFmtId="165" formatCode=";;;"/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numFmt numFmtId="165" formatCode=";;;"/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ill>
        <patternFill patternType="none">
          <bgColor auto="1"/>
        </patternFill>
      </fill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9CC00"/>
      <color rgb="FF29C7FF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9922</xdr:colOff>
      <xdr:row>0</xdr:row>
      <xdr:rowOff>29765</xdr:rowOff>
    </xdr:from>
    <xdr:to>
      <xdr:col>3</xdr:col>
      <xdr:colOff>603329</xdr:colOff>
      <xdr:row>3</xdr:row>
      <xdr:rowOff>171947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F9D9BA8-C209-4708-A79F-110DEB07B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797" y="29765"/>
          <a:ext cx="942578" cy="5527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2</xdr:col>
      <xdr:colOff>241623</xdr:colOff>
      <xdr:row>3</xdr:row>
      <xdr:rowOff>95249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BB28CF7-09D8-417D-AAA6-01A4C26E5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0031" y="0"/>
          <a:ext cx="1166813" cy="59531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B525AD-B830-4A69-BB1E-53344EF1E0AA}" name="Funcional" displayName="Funcional" ref="O6:O18" totalsRowShown="0" headerRowDxfId="71" headerRowBorderDxfId="70" tableBorderDxfId="69" totalsRowBorderDxfId="68">
  <autoFilter ref="O6:O18" xr:uid="{B4B525AD-B830-4A69-BB1E-53344EF1E0AA}"/>
  <tableColumns count="1">
    <tableColumn id="1" xr3:uid="{28043FA0-0011-4315-BEF8-BD82ABC0C49F}" name="Funcional" dataDxfId="6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1D0C1E-C1F1-43A9-9D48-EBB026256279}" name="Técnico" displayName="Técnico" ref="P6:P16" totalsRowShown="0" headerRowDxfId="66" headerRowBorderDxfId="65" tableBorderDxfId="64" totalsRowBorderDxfId="63">
  <autoFilter ref="P6:P16" xr:uid="{451D0C1E-C1F1-43A9-9D48-EBB026256279}"/>
  <tableColumns count="1">
    <tableColumn id="1" xr3:uid="{A0AB1C8E-245F-48A6-8674-40F449C8EEBB}" name="Técnico" dataDxfId="6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3B5487-6A3D-4219-9976-57DF0740C226}" name="Automatización" displayName="Automatización" ref="Q6:Q11" totalsRowShown="0" headerRowDxfId="61" headerRowBorderDxfId="60" tableBorderDxfId="59" totalsRowBorderDxfId="58">
  <autoFilter ref="Q6:Q11" xr:uid="{E93B5487-6A3D-4219-9976-57DF0740C226}"/>
  <tableColumns count="1">
    <tableColumn id="1" xr3:uid="{99C0517E-7E94-401F-AD9A-A30CCA377A73}" name="Automatización" dataDxfId="5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562EA18-D10A-4119-93AC-0A614692B771}" name="Data" displayName="Data" ref="R6:R11" totalsRowShown="0" headerRowDxfId="56" dataDxfId="54" headerRowBorderDxfId="55">
  <autoFilter ref="R6:R11" xr:uid="{1562EA18-D10A-4119-93AC-0A614692B771}"/>
  <tableColumns count="1">
    <tableColumn id="1" xr3:uid="{B6ED31F3-18F0-4FA6-A001-C72381ED9E5B}" name="Data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EDE09C2-9CB9-4B61-8D3E-B8696A3E5BA2}" name="Consultoria" displayName="Consultoria" ref="S6:S12" totalsRowShown="0" headerRowDxfId="52" dataDxfId="51">
  <autoFilter ref="S6:S12" xr:uid="{AEDE09C2-9CB9-4B61-8D3E-B8696A3E5BA2}"/>
  <tableColumns count="1">
    <tableColumn id="1" xr3:uid="{0CEF1E97-18F3-47EC-94A3-3073328DF2B1}" name="Consultoria" dataDxfId="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3F653B-2257-4794-807B-397B10249B32}" name="Nivel" displayName="Nivel" ref="O25:O29" totalsRowShown="0">
  <autoFilter ref="O25:O29" xr:uid="{DE3F653B-2257-4794-807B-397B10249B32}"/>
  <tableColumns count="1">
    <tableColumn id="1" xr3:uid="{CA2B65B6-7DDE-4095-936E-2D6E9E598012}" name="Nive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32AF73B-3F38-49E6-ACD0-E62E7872D3B5}" name="AUTOMATIZADO" displayName="AUTOMATIZADO" ref="A28:A30" totalsRowShown="0" headerRowDxfId="49" headerRowBorderDxfId="48" tableBorderDxfId="47" totalsRowBorderDxfId="46" headerRowCellStyle="Normal 2">
  <autoFilter ref="A28:A30" xr:uid="{332AF73B-3F38-49E6-ACD0-E62E7872D3B5}"/>
  <tableColumns count="1">
    <tableColumn id="1" xr3:uid="{D3BF3212-B889-4206-8327-699BBE7655E8}" name="AUTOMATIZADO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DFB44A-3528-4FBD-97C1-54D678AA59BC}" name="Escenarios" displayName="Escenarios" ref="P20:P24" totalsRowShown="0">
  <autoFilter ref="P20:P24" xr:uid="{0C172199-3514-4698-AB30-93D1AD395887}"/>
  <tableColumns count="1">
    <tableColumn id="1" xr3:uid="{B780965F-B6F7-48DB-A618-EE8BBD13B8F4}" name="Escenarios de prueba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vivianalopez@cbit-online.com" TargetMode="External"/><Relationship Id="rId13" Type="http://schemas.openxmlformats.org/officeDocument/2006/relationships/hyperlink" Target="mailto:claudiacopete@cbit-online.com" TargetMode="External"/><Relationship Id="rId3" Type="http://schemas.openxmlformats.org/officeDocument/2006/relationships/hyperlink" Target="mailto:vivianalopez@cbit-online.com" TargetMode="External"/><Relationship Id="rId7" Type="http://schemas.openxmlformats.org/officeDocument/2006/relationships/hyperlink" Target="mailto:vivianalopez@cbit-online.com" TargetMode="External"/><Relationship Id="rId12" Type="http://schemas.openxmlformats.org/officeDocument/2006/relationships/hyperlink" Target="mailto:claudiacopete@cbit-online.com" TargetMode="External"/><Relationship Id="rId2" Type="http://schemas.openxmlformats.org/officeDocument/2006/relationships/hyperlink" Target="mailto:vivianalopez@cbit-online.com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mailto:vivianalopez@cbit-online.com" TargetMode="External"/><Relationship Id="rId6" Type="http://schemas.openxmlformats.org/officeDocument/2006/relationships/hyperlink" Target="mailto:vivianalopez@cbit-online.com" TargetMode="External"/><Relationship Id="rId11" Type="http://schemas.openxmlformats.org/officeDocument/2006/relationships/hyperlink" Target="mailto:vivianalopez@cbit-online.com" TargetMode="External"/><Relationship Id="rId5" Type="http://schemas.openxmlformats.org/officeDocument/2006/relationships/hyperlink" Target="mailto:vivianalopez@cbit-online.com" TargetMode="External"/><Relationship Id="rId15" Type="http://schemas.openxmlformats.org/officeDocument/2006/relationships/hyperlink" Target="mailto:claudiacopete@cbit-online.com" TargetMode="External"/><Relationship Id="rId10" Type="http://schemas.openxmlformats.org/officeDocument/2006/relationships/hyperlink" Target="mailto:vivianalopez@cbit-online.com" TargetMode="External"/><Relationship Id="rId4" Type="http://schemas.openxmlformats.org/officeDocument/2006/relationships/hyperlink" Target="mailto:vivianalopez@cbit-online.com" TargetMode="External"/><Relationship Id="rId9" Type="http://schemas.openxmlformats.org/officeDocument/2006/relationships/hyperlink" Target="mailto:vivianalopez@cbit-online.com" TargetMode="External"/><Relationship Id="rId14" Type="http://schemas.openxmlformats.org/officeDocument/2006/relationships/hyperlink" Target="mailto:claudiacopete@cbit-online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02619-2274-4EFC-89D6-D9AC8D4163F8}">
  <sheetPr codeName="Hoja9"/>
  <dimension ref="A1:G33"/>
  <sheetViews>
    <sheetView showGridLines="0" topLeftCell="C1" workbookViewId="0">
      <selection activeCell="E12" sqref="E12"/>
    </sheetView>
  </sheetViews>
  <sheetFormatPr baseColWidth="10" defaultColWidth="11.44140625" defaultRowHeight="13.2" x14ac:dyDescent="0.25"/>
  <cols>
    <col min="1" max="1" width="2.109375" style="1" customWidth="1"/>
    <col min="2" max="2" width="17" style="1" customWidth="1"/>
    <col min="3" max="3" width="31.109375" style="1" customWidth="1"/>
    <col min="4" max="4" width="13.6640625" style="1" customWidth="1"/>
    <col min="5" max="5" width="13.5546875" style="1" customWidth="1"/>
    <col min="6" max="6" width="73.6640625" style="1" customWidth="1"/>
    <col min="7" max="7" width="34.33203125" style="1" customWidth="1"/>
    <col min="8" max="16384" width="11.44140625" style="1"/>
  </cols>
  <sheetData>
    <row r="1" spans="1:7" x14ac:dyDescent="0.25">
      <c r="A1" s="116"/>
      <c r="B1" s="116"/>
      <c r="C1" s="116"/>
      <c r="D1" s="116"/>
      <c r="E1" s="116"/>
      <c r="F1" s="116"/>
      <c r="G1" s="116"/>
    </row>
    <row r="2" spans="1:7" x14ac:dyDescent="0.25">
      <c r="A2" s="116"/>
      <c r="B2" s="347" t="s">
        <v>0</v>
      </c>
      <c r="C2" s="347"/>
      <c r="D2" s="347"/>
      <c r="E2" s="347"/>
      <c r="F2" s="347"/>
      <c r="G2" s="347"/>
    </row>
    <row r="3" spans="1:7" x14ac:dyDescent="0.25">
      <c r="A3" s="116"/>
      <c r="B3" s="119" t="s">
        <v>1</v>
      </c>
      <c r="C3" s="117"/>
      <c r="D3" s="348"/>
      <c r="E3" s="349"/>
      <c r="F3" s="349"/>
      <c r="G3" s="350"/>
    </row>
    <row r="4" spans="1:7" x14ac:dyDescent="0.25">
      <c r="A4" s="116"/>
      <c r="B4" s="117"/>
      <c r="C4" s="117"/>
      <c r="D4" s="351"/>
      <c r="E4" s="352"/>
      <c r="F4" s="352"/>
      <c r="G4" s="353"/>
    </row>
    <row r="5" spans="1:7" x14ac:dyDescent="0.25">
      <c r="A5" s="118"/>
      <c r="B5" s="120" t="s">
        <v>2</v>
      </c>
      <c r="C5" s="120" t="s">
        <v>3</v>
      </c>
      <c r="D5" s="120" t="s">
        <v>4</v>
      </c>
      <c r="E5" s="120" t="s">
        <v>5</v>
      </c>
      <c r="F5" s="120" t="s">
        <v>6</v>
      </c>
      <c r="G5" s="120" t="s">
        <v>7</v>
      </c>
    </row>
    <row r="6" spans="1:7" ht="13.8" x14ac:dyDescent="0.25">
      <c r="A6" s="118"/>
      <c r="B6" s="3" t="s">
        <v>8</v>
      </c>
      <c r="C6" s="4">
        <v>44000</v>
      </c>
      <c r="D6" s="3" t="s">
        <v>9</v>
      </c>
      <c r="E6" s="122" t="s">
        <v>10</v>
      </c>
      <c r="F6" s="2" t="s">
        <v>11</v>
      </c>
      <c r="G6" s="94" t="s">
        <v>12</v>
      </c>
    </row>
    <row r="7" spans="1:7" ht="12.75" customHeight="1" x14ac:dyDescent="0.25">
      <c r="A7" s="118"/>
      <c r="B7" s="77" t="s">
        <v>13</v>
      </c>
      <c r="C7" s="78">
        <v>44027</v>
      </c>
      <c r="D7" s="77" t="s">
        <v>14</v>
      </c>
      <c r="E7" s="122" t="s">
        <v>10</v>
      </c>
      <c r="F7" s="82" t="s">
        <v>15</v>
      </c>
      <c r="G7" s="95" t="s">
        <v>12</v>
      </c>
    </row>
    <row r="8" spans="1:7" ht="12.75" customHeight="1" x14ac:dyDescent="0.25">
      <c r="A8" s="118"/>
      <c r="B8" s="77" t="s">
        <v>16</v>
      </c>
      <c r="C8" s="81">
        <v>44035</v>
      </c>
      <c r="D8" s="77" t="s">
        <v>14</v>
      </c>
      <c r="E8" s="122" t="s">
        <v>10</v>
      </c>
      <c r="F8" s="83" t="s">
        <v>17</v>
      </c>
      <c r="G8" s="95" t="s">
        <v>12</v>
      </c>
    </row>
    <row r="9" spans="1:7" ht="12.75" customHeight="1" x14ac:dyDescent="0.25">
      <c r="A9" s="118"/>
      <c r="B9" s="77" t="s">
        <v>18</v>
      </c>
      <c r="C9" s="81">
        <v>44057</v>
      </c>
      <c r="D9" s="77" t="s">
        <v>14</v>
      </c>
      <c r="E9" s="122" t="s">
        <v>10</v>
      </c>
      <c r="F9" s="88" t="s">
        <v>19</v>
      </c>
      <c r="G9" s="95" t="s">
        <v>12</v>
      </c>
    </row>
    <row r="10" spans="1:7" ht="12.75" customHeight="1" x14ac:dyDescent="0.25">
      <c r="A10" s="118"/>
      <c r="B10" s="77" t="s">
        <v>20</v>
      </c>
      <c r="C10" s="81">
        <v>44077</v>
      </c>
      <c r="D10" s="77" t="s">
        <v>14</v>
      </c>
      <c r="E10" s="122" t="s">
        <v>10</v>
      </c>
      <c r="F10" s="88" t="s">
        <v>21</v>
      </c>
      <c r="G10" s="95" t="s">
        <v>12</v>
      </c>
    </row>
    <row r="11" spans="1:7" ht="12.75" customHeight="1" x14ac:dyDescent="0.25">
      <c r="A11" s="118"/>
      <c r="B11" s="77" t="s">
        <v>22</v>
      </c>
      <c r="C11" s="81">
        <v>44082</v>
      </c>
      <c r="D11" s="77" t="s">
        <v>14</v>
      </c>
      <c r="E11" s="122" t="s">
        <v>10</v>
      </c>
      <c r="F11" s="90" t="s">
        <v>23</v>
      </c>
      <c r="G11" s="97" t="s">
        <v>12</v>
      </c>
    </row>
    <row r="12" spans="1:7" ht="12.75" customHeight="1" x14ac:dyDescent="0.25">
      <c r="A12" s="118"/>
      <c r="B12" s="77" t="s">
        <v>24</v>
      </c>
      <c r="C12" s="81">
        <v>44148</v>
      </c>
      <c r="D12" s="77" t="s">
        <v>14</v>
      </c>
      <c r="E12" s="122" t="s">
        <v>10</v>
      </c>
      <c r="F12" s="83" t="s">
        <v>25</v>
      </c>
      <c r="G12" s="97" t="s">
        <v>12</v>
      </c>
    </row>
    <row r="13" spans="1:7" ht="12.75" customHeight="1" x14ac:dyDescent="0.25">
      <c r="A13" s="118"/>
      <c r="B13" s="77" t="s">
        <v>26</v>
      </c>
      <c r="C13" s="81">
        <v>44155</v>
      </c>
      <c r="D13" s="77" t="s">
        <v>14</v>
      </c>
      <c r="E13" s="122" t="s">
        <v>10</v>
      </c>
      <c r="F13" s="83" t="s">
        <v>27</v>
      </c>
      <c r="G13" s="97" t="s">
        <v>12</v>
      </c>
    </row>
    <row r="14" spans="1:7" ht="12.75" customHeight="1" x14ac:dyDescent="0.25">
      <c r="A14" s="118"/>
      <c r="B14" s="77">
        <v>9</v>
      </c>
      <c r="C14" s="81">
        <v>44179</v>
      </c>
      <c r="D14" s="77" t="s">
        <v>14</v>
      </c>
      <c r="E14" s="122" t="s">
        <v>10</v>
      </c>
      <c r="F14" s="83" t="s">
        <v>28</v>
      </c>
      <c r="G14" s="97" t="s">
        <v>12</v>
      </c>
    </row>
    <row r="15" spans="1:7" ht="12.75" customHeight="1" x14ac:dyDescent="0.25">
      <c r="A15" s="118"/>
      <c r="B15" s="77">
        <v>10</v>
      </c>
      <c r="C15" s="81">
        <v>44476</v>
      </c>
      <c r="D15" s="77" t="s">
        <v>14</v>
      </c>
      <c r="E15" s="122" t="s">
        <v>10</v>
      </c>
      <c r="F15" s="93" t="s">
        <v>29</v>
      </c>
      <c r="G15" s="97" t="s">
        <v>12</v>
      </c>
    </row>
    <row r="16" spans="1:7" ht="12.75" customHeight="1" x14ac:dyDescent="0.25">
      <c r="A16" s="118"/>
      <c r="B16" s="77">
        <v>11</v>
      </c>
      <c r="C16" s="81">
        <v>44477</v>
      </c>
      <c r="D16" s="77" t="s">
        <v>14</v>
      </c>
      <c r="E16" s="122" t="s">
        <v>10</v>
      </c>
      <c r="F16" s="93" t="s">
        <v>30</v>
      </c>
      <c r="G16" s="97" t="s">
        <v>12</v>
      </c>
    </row>
    <row r="17" spans="1:7" ht="26.4" x14ac:dyDescent="0.25">
      <c r="A17" s="118"/>
      <c r="B17" s="77" t="s">
        <v>31</v>
      </c>
      <c r="C17" s="81">
        <v>45048</v>
      </c>
      <c r="D17" s="77" t="s">
        <v>14</v>
      </c>
      <c r="E17" s="122" t="s">
        <v>10</v>
      </c>
      <c r="F17" s="93" t="s">
        <v>32</v>
      </c>
      <c r="G17" s="97" t="s">
        <v>33</v>
      </c>
    </row>
    <row r="18" spans="1:7" ht="14.4" x14ac:dyDescent="0.25">
      <c r="A18" s="118"/>
      <c r="B18" s="77" t="s">
        <v>34</v>
      </c>
      <c r="C18" s="81">
        <v>45049</v>
      </c>
      <c r="D18" s="77" t="s">
        <v>14</v>
      </c>
      <c r="E18" s="122" t="s">
        <v>10</v>
      </c>
      <c r="F18" s="93" t="s">
        <v>35</v>
      </c>
      <c r="G18" s="97" t="s">
        <v>33</v>
      </c>
    </row>
    <row r="19" spans="1:7" ht="26.4" x14ac:dyDescent="0.25">
      <c r="A19" s="118"/>
      <c r="B19" s="77" t="s">
        <v>36</v>
      </c>
      <c r="C19" s="81">
        <v>45076</v>
      </c>
      <c r="D19" s="77" t="s">
        <v>14</v>
      </c>
      <c r="E19" s="122" t="s">
        <v>10</v>
      </c>
      <c r="F19" s="93" t="s">
        <v>37</v>
      </c>
      <c r="G19" s="97" t="s">
        <v>33</v>
      </c>
    </row>
    <row r="20" spans="1:7" ht="14.4" x14ac:dyDescent="0.25">
      <c r="A20" s="118"/>
      <c r="B20" s="77" t="s">
        <v>38</v>
      </c>
      <c r="C20" s="81">
        <v>45189</v>
      </c>
      <c r="D20" s="77" t="s">
        <v>14</v>
      </c>
      <c r="E20" s="122" t="s">
        <v>10</v>
      </c>
      <c r="F20" s="93" t="s">
        <v>39</v>
      </c>
      <c r="G20" s="97" t="s">
        <v>33</v>
      </c>
    </row>
    <row r="21" spans="1:7" ht="26.25" customHeight="1" x14ac:dyDescent="0.25">
      <c r="A21" s="116"/>
      <c r="B21" s="116"/>
      <c r="C21" s="116"/>
      <c r="D21" s="116"/>
      <c r="E21" s="116"/>
      <c r="F21" s="116"/>
      <c r="G21" s="116"/>
    </row>
    <row r="22" spans="1:7" x14ac:dyDescent="0.25">
      <c r="A22" s="116"/>
      <c r="B22" s="115" t="s">
        <v>40</v>
      </c>
      <c r="C22" s="116"/>
      <c r="D22" s="116"/>
      <c r="E22" s="116"/>
      <c r="F22" s="116"/>
      <c r="G22" s="116"/>
    </row>
    <row r="23" spans="1:7" x14ac:dyDescent="0.25">
      <c r="A23" s="116"/>
      <c r="B23" s="121" t="s">
        <v>41</v>
      </c>
      <c r="C23" s="116"/>
      <c r="D23" s="116"/>
      <c r="E23" s="116"/>
      <c r="F23" s="116"/>
      <c r="G23" s="116"/>
    </row>
    <row r="24" spans="1:7" x14ac:dyDescent="0.25">
      <c r="A24" s="116"/>
      <c r="B24" s="115" t="s">
        <v>42</v>
      </c>
      <c r="C24" s="116"/>
      <c r="D24" s="116"/>
      <c r="E24" s="116"/>
      <c r="F24" s="116"/>
      <c r="G24" s="116"/>
    </row>
    <row r="25" spans="1:7" x14ac:dyDescent="0.25">
      <c r="A25" s="116"/>
      <c r="B25" s="121" t="s">
        <v>43</v>
      </c>
      <c r="C25" s="116"/>
      <c r="D25" s="116"/>
      <c r="E25" s="116"/>
      <c r="F25" s="116"/>
      <c r="G25" s="116"/>
    </row>
    <row r="26" spans="1:7" x14ac:dyDescent="0.25">
      <c r="A26" s="116"/>
      <c r="B26" s="115" t="s">
        <v>44</v>
      </c>
      <c r="C26" s="116"/>
      <c r="D26" s="116"/>
      <c r="E26" s="116"/>
      <c r="F26" s="116"/>
      <c r="G26" s="116"/>
    </row>
    <row r="27" spans="1:7" x14ac:dyDescent="0.25">
      <c r="A27" s="116"/>
      <c r="B27" s="115" t="s">
        <v>45</v>
      </c>
      <c r="C27" s="116"/>
      <c r="D27" s="116"/>
      <c r="E27" s="116"/>
      <c r="F27" s="116"/>
      <c r="G27" s="116"/>
    </row>
    <row r="28" spans="1:7" x14ac:dyDescent="0.25">
      <c r="A28" s="116"/>
      <c r="B28" s="115" t="s">
        <v>46</v>
      </c>
      <c r="C28" s="116"/>
      <c r="D28" s="116"/>
      <c r="E28" s="116"/>
      <c r="F28" s="116"/>
      <c r="G28" s="116"/>
    </row>
    <row r="29" spans="1:7" x14ac:dyDescent="0.25">
      <c r="A29" s="116"/>
      <c r="B29" s="116"/>
      <c r="C29" s="116"/>
      <c r="D29" s="116"/>
      <c r="E29" s="116"/>
      <c r="F29" s="116"/>
      <c r="G29" s="116"/>
    </row>
    <row r="30" spans="1:7" x14ac:dyDescent="0.25">
      <c r="A30" s="116"/>
      <c r="B30" s="115" t="s">
        <v>47</v>
      </c>
      <c r="C30" s="116"/>
      <c r="D30" s="116"/>
      <c r="E30" s="116"/>
      <c r="F30" s="116"/>
      <c r="G30" s="116"/>
    </row>
    <row r="31" spans="1:7" x14ac:dyDescent="0.25">
      <c r="A31" s="116"/>
      <c r="B31" s="116" t="s">
        <v>48</v>
      </c>
      <c r="C31" s="116"/>
      <c r="D31" s="116"/>
      <c r="E31" s="116"/>
      <c r="F31" s="116"/>
      <c r="G31" s="116"/>
    </row>
    <row r="32" spans="1:7" x14ac:dyDescent="0.25">
      <c r="A32" s="116"/>
      <c r="B32" s="116" t="s">
        <v>49</v>
      </c>
      <c r="C32" s="116"/>
      <c r="D32" s="116"/>
      <c r="E32" s="116"/>
      <c r="F32" s="116"/>
      <c r="G32" s="116"/>
    </row>
    <row r="33" spans="4:4" x14ac:dyDescent="0.25">
      <c r="D33" s="1" t="s">
        <v>50</v>
      </c>
    </row>
  </sheetData>
  <sheetProtection algorithmName="SHA-512" hashValue="Ci4JFHTxY7iWu8BnPqd7TqTwObHl03K2S8cBIvUFnOAmoPSqg103B/hCKs3Aa65UCjox7j8HT/Q1H2KovLTMcA==" saltValue="Np/42x3QOyzr3oWBvwV3/Q==" spinCount="100000" sheet="1" objects="1" scenarios="1"/>
  <mergeCells count="2">
    <mergeCell ref="B2:G2"/>
    <mergeCell ref="D3:G4"/>
  </mergeCells>
  <hyperlinks>
    <hyperlink ref="G6" r:id="rId1" xr:uid="{822D8569-0790-4300-B4C3-F4DDDA707B1A}"/>
    <hyperlink ref="G7" r:id="rId2" xr:uid="{04014544-D8F3-48CE-9F59-76B40DAE5719}"/>
    <hyperlink ref="G8" r:id="rId3" xr:uid="{D7C679BE-4AB5-480A-AF16-6D106AAAA1D1}"/>
    <hyperlink ref="G9" r:id="rId4" xr:uid="{037B6D72-C851-4C75-9B90-1E35E0868CDA}"/>
    <hyperlink ref="G10" r:id="rId5" xr:uid="{EBDDFC93-85B4-4261-AB43-212E392D7A3D}"/>
    <hyperlink ref="G11" r:id="rId6" xr:uid="{70D5B9D0-F3B8-4E79-9528-E89AEC6DB750}"/>
    <hyperlink ref="G12" r:id="rId7" xr:uid="{601FDD87-3F17-4BAB-A8A5-0C6C880AC65B}"/>
    <hyperlink ref="G13" r:id="rId8" xr:uid="{43792452-B972-4497-9645-6B0CB7A356E0}"/>
    <hyperlink ref="G14" r:id="rId9" xr:uid="{244AF6B0-B834-4016-B930-83CC617AC873}"/>
    <hyperlink ref="G15" r:id="rId10" xr:uid="{65D01751-78DB-4CB1-B8A8-08BD610FAC26}"/>
    <hyperlink ref="G16" r:id="rId11" xr:uid="{63A537A7-8BA8-4DC5-91F5-D9CAD4D35686}"/>
    <hyperlink ref="G17" r:id="rId12" xr:uid="{36654364-C9A9-4905-80AF-AB538A2CACE5}"/>
    <hyperlink ref="G18" r:id="rId13" xr:uid="{8AA8B22C-58A7-4781-8A34-9250B68A65A3}"/>
    <hyperlink ref="G20" r:id="rId14" xr:uid="{E4108DA5-B3E9-44AF-AC84-866253C3515C}"/>
    <hyperlink ref="G19" r:id="rId15" xr:uid="{F6CE224D-BACA-4315-B751-4804E4CF2DA8}"/>
  </hyperlinks>
  <pageMargins left="0.7" right="0.7" top="0.75" bottom="0.75" header="0.3" footer="0.3"/>
  <pageSetup paperSize="9" orientation="portrait" r:id="rId1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E4DC7-BC6E-43D6-A37C-D938FF21B087}">
  <sheetPr codeName="Hoja4"/>
  <dimension ref="B1:Z96"/>
  <sheetViews>
    <sheetView showGridLines="0" topLeftCell="B10" zoomScale="96" zoomScaleNormal="96" workbookViewId="0">
      <selection activeCell="K24" sqref="K24:N35"/>
    </sheetView>
  </sheetViews>
  <sheetFormatPr baseColWidth="10" defaultColWidth="11.44140625" defaultRowHeight="13.2" x14ac:dyDescent="0.25"/>
  <cols>
    <col min="1" max="1" width="1.5546875" style="28" customWidth="1"/>
    <col min="2" max="2" width="4.33203125" style="28" customWidth="1"/>
    <col min="3" max="3" width="5.109375" style="28" customWidth="1"/>
    <col min="4" max="4" width="15.109375" style="28" customWidth="1"/>
    <col min="5" max="5" width="8.5546875" style="28" hidden="1" customWidth="1"/>
    <col min="6" max="6" width="18" style="28" customWidth="1"/>
    <col min="7" max="7" width="10.33203125" style="28" bestFit="1" customWidth="1"/>
    <col min="8" max="8" width="12.6640625" style="28" hidden="1" customWidth="1"/>
    <col min="9" max="9" width="12.44140625" style="28" hidden="1" customWidth="1"/>
    <col min="10" max="10" width="2.5546875" style="28" customWidth="1"/>
    <col min="11" max="11" width="20.88671875" style="28" customWidth="1"/>
    <col min="12" max="12" width="6.44140625" style="28" customWidth="1"/>
    <col min="13" max="13" width="4.109375" style="28" customWidth="1"/>
    <col min="14" max="14" width="14.109375" style="28" customWidth="1"/>
    <col min="15" max="15" width="1.5546875" style="28" customWidth="1"/>
    <col min="16" max="16" width="46.6640625" style="28" bestFit="1" customWidth="1"/>
    <col min="17" max="17" width="12.88671875" style="28" bestFit="1" customWidth="1"/>
    <col min="18" max="18" width="12.6640625" style="28" customWidth="1"/>
    <col min="19" max="19" width="6.109375" style="28" hidden="1" customWidth="1"/>
    <col min="20" max="20" width="21" style="28" bestFit="1" customWidth="1"/>
    <col min="21" max="16384" width="11.44140625" style="28"/>
  </cols>
  <sheetData>
    <row r="1" spans="2:26" ht="2.25" customHeight="1" thickBot="1" x14ac:dyDescent="0.3"/>
    <row r="2" spans="2:26" ht="15" customHeight="1" x14ac:dyDescent="0.25">
      <c r="F2" s="380" t="s">
        <v>51</v>
      </c>
      <c r="G2" s="381"/>
      <c r="H2" s="386" t="s">
        <v>634</v>
      </c>
      <c r="I2" s="387"/>
      <c r="J2" s="387"/>
      <c r="K2" s="387"/>
      <c r="L2" s="387"/>
      <c r="M2" s="387"/>
      <c r="N2" s="387"/>
      <c r="O2" s="387"/>
    </row>
    <row r="3" spans="2:26" ht="15" customHeight="1" x14ac:dyDescent="0.25">
      <c r="F3" s="382" t="s">
        <v>52</v>
      </c>
      <c r="G3" s="383"/>
      <c r="H3" s="292"/>
      <c r="I3" s="293"/>
      <c r="J3" s="387" t="s">
        <v>384</v>
      </c>
      <c r="K3" s="387"/>
      <c r="L3" s="387"/>
      <c r="M3" s="387"/>
      <c r="N3" s="387"/>
      <c r="O3" s="387"/>
      <c r="P3" s="254"/>
      <c r="Q3" s="253"/>
      <c r="S3" s="254"/>
      <c r="T3" s="254"/>
      <c r="X3" s="282"/>
      <c r="Y3" s="282"/>
      <c r="Z3" s="282"/>
    </row>
    <row r="4" spans="2:26" ht="15.75" customHeight="1" thickBot="1" x14ac:dyDescent="0.3">
      <c r="F4" s="389" t="s">
        <v>53</v>
      </c>
      <c r="G4" s="390"/>
      <c r="H4" s="388">
        <v>46225</v>
      </c>
      <c r="I4" s="387"/>
      <c r="J4" s="387"/>
      <c r="K4" s="387"/>
      <c r="L4" s="387"/>
      <c r="M4" s="387"/>
      <c r="N4" s="387"/>
      <c r="O4" s="387"/>
      <c r="Q4" s="170" t="s">
        <v>54</v>
      </c>
      <c r="R4" s="170">
        <f>10+COUNTIFS(R7:R15,"Alto")*15+COUNTIFS(R7:R15,"Medio")*10+COUNTIFS(R7:R15,"Bajo")*5</f>
        <v>10</v>
      </c>
      <c r="X4" s="282"/>
      <c r="Y4" s="283" t="s">
        <v>55</v>
      </c>
      <c r="Z4" s="282"/>
    </row>
    <row r="5" spans="2:26" ht="3.75" customHeight="1" thickBot="1" x14ac:dyDescent="0.3">
      <c r="F5" s="54"/>
      <c r="G5" s="55"/>
      <c r="H5" s="55"/>
      <c r="I5" s="55"/>
      <c r="J5" s="56"/>
      <c r="K5" s="56"/>
      <c r="L5" s="56"/>
      <c r="M5" s="56"/>
      <c r="N5" s="56"/>
      <c r="X5" s="282"/>
      <c r="Y5" s="282"/>
      <c r="Z5" s="282"/>
    </row>
    <row r="6" spans="2:26" ht="15" customHeight="1" x14ac:dyDescent="0.25">
      <c r="B6" s="286" t="s">
        <v>56</v>
      </c>
      <c r="C6" s="287"/>
      <c r="D6" s="287"/>
      <c r="E6" s="287"/>
      <c r="F6" s="287"/>
      <c r="G6" s="287"/>
      <c r="H6" s="287"/>
      <c r="I6" s="288"/>
      <c r="K6" s="393" t="s">
        <v>57</v>
      </c>
      <c r="L6" s="394"/>
      <c r="M6" s="394"/>
      <c r="N6" s="205">
        <f>'BASE CALCULO'!GL8+'BASE CALCULO'!GL9</f>
        <v>0</v>
      </c>
      <c r="P6" s="256" t="s">
        <v>58</v>
      </c>
      <c r="Q6" s="256" t="s">
        <v>59</v>
      </c>
      <c r="R6" s="256" t="s">
        <v>60</v>
      </c>
    </row>
    <row r="7" spans="2:26" ht="14.4" x14ac:dyDescent="0.25">
      <c r="B7" s="289"/>
      <c r="C7" s="290"/>
      <c r="D7" s="290"/>
      <c r="E7" s="290"/>
      <c r="F7" s="290"/>
      <c r="G7" s="290"/>
      <c r="H7" s="290"/>
      <c r="I7" s="291"/>
      <c r="J7" s="29"/>
      <c r="K7" s="384" t="s">
        <v>61</v>
      </c>
      <c r="L7" s="385"/>
      <c r="M7" s="385"/>
      <c r="N7" s="308">
        <f>'BASE CALCULO'!GL10</f>
        <v>0</v>
      </c>
      <c r="P7" s="191" t="s">
        <v>62</v>
      </c>
      <c r="Q7" s="177" t="s">
        <v>63</v>
      </c>
      <c r="R7" s="181" t="s">
        <v>64</v>
      </c>
      <c r="S7" s="113" t="b">
        <f>IF(Q7="SI",IF(R7="Alto",(SUM($N$12:$N$14,$Q$21:$Q$22)*'ADMIN TIEMPOS'!$B$11%),IF(R7="Medio",(SUM($N$12:$N$14,$Q$21:$Q$22)*'ADMIN TIEMPOS'!$B$12%),IF(R7="Bajo",(SUM($N$12:$N$14,$Q$21:$Q$22)*'ADMIN TIEMPOS'!$B$13%),0))))</f>
        <v>0</v>
      </c>
      <c r="T7" s="244" t="b">
        <f>IF(Q7="SI",IF(R7="Alto",(SUM($N$26:$N$27)*'ADMIN TIEMPOS'!$B$11%),IF(R7="Medio",(SUM($N$26:$N$27)*'ADMIN TIEMPOS'!$B$12%),IF(R7="Bajo",(SUM($N$26:$N$27)*'ADMIN TIEMPOS'!$B$13%),0))))</f>
        <v>0</v>
      </c>
    </row>
    <row r="8" spans="2:26" ht="14.4" x14ac:dyDescent="0.25">
      <c r="B8" s="391" t="s">
        <v>65</v>
      </c>
      <c r="C8" s="395" t="s">
        <v>66</v>
      </c>
      <c r="D8" s="395"/>
      <c r="E8" s="395"/>
      <c r="F8" s="395"/>
      <c r="G8" s="392" t="s">
        <v>67</v>
      </c>
      <c r="J8" s="29"/>
      <c r="K8" s="384" t="s">
        <v>68</v>
      </c>
      <c r="L8" s="385"/>
      <c r="M8" s="385"/>
      <c r="N8" s="206">
        <f>'BASE CALCULO'!GL19</f>
        <v>0</v>
      </c>
      <c r="P8" s="191" t="s">
        <v>69</v>
      </c>
      <c r="Q8" s="177" t="s">
        <v>63</v>
      </c>
      <c r="R8" s="181" t="s">
        <v>64</v>
      </c>
      <c r="S8" s="113" t="b">
        <f>IF(Q8="SI",IF(R8="Alto",(SUM($N$12:$N$14,$Q$21:$Q$22)*'ADMIN TIEMPOS'!$B$11%),IF(R8="Medio",(SUM($N$12:$N$14,$Q$21:$Q$22)*'ADMIN TIEMPOS'!$B$12%),IF(R8="Bajo",(SUM($N$12:$N$14,$Q$21:$Q$22)*'ADMIN TIEMPOS'!$B$13%),0))))</f>
        <v>0</v>
      </c>
      <c r="T8" s="244" t="b">
        <f>IF(Q8="SI",IF(R8="Alto",(SUM($N$26:$N$27)*'ADMIN TIEMPOS'!$B$11%),IF(R8="Medio",(SUM($N$26:$N$27)*'ADMIN TIEMPOS'!$B$12%),IF(R8="Bajo",(SUM($N$26:$N$27)*'ADMIN TIEMPOS'!$B$13%),0))))</f>
        <v>0</v>
      </c>
    </row>
    <row r="9" spans="2:26" ht="14.25" customHeight="1" x14ac:dyDescent="0.25">
      <c r="B9" s="391"/>
      <c r="C9" s="395"/>
      <c r="D9" s="395"/>
      <c r="E9" s="395"/>
      <c r="F9" s="395"/>
      <c r="G9" s="392"/>
      <c r="J9" s="29"/>
      <c r="K9" s="384" t="s">
        <v>70</v>
      </c>
      <c r="L9" s="385"/>
      <c r="M9" s="385"/>
      <c r="N9" s="206">
        <f>SUM(N6:N8)</f>
        <v>0</v>
      </c>
      <c r="P9" s="191" t="s">
        <v>71</v>
      </c>
      <c r="Q9" s="177" t="s">
        <v>63</v>
      </c>
      <c r="R9" s="181" t="s">
        <v>64</v>
      </c>
      <c r="S9" s="113" t="b">
        <f>IF(Q9="SI",IF(R9="Alto",(SUM($N$12:$N$14,$Q$21:$Q$22)*'ADMIN TIEMPOS'!$B$11%),IF(R9="Medio",(SUM($N$12:$N$14,$Q$21:$Q$22)*'ADMIN TIEMPOS'!$B$12%),IF(R9="Bajo",(SUM($N$12:$N$14,$Q$21:$Q$22)*'ADMIN TIEMPOS'!$B$13%),0))))</f>
        <v>0</v>
      </c>
      <c r="T9" s="244" t="b">
        <f>IF(Q9="SI",IF(R9="Alto",(SUM($N$26:$N$27)*'ADMIN TIEMPOS'!$B$11%),IF(R9="Medio",(SUM($N$26:$N$27)*'ADMIN TIEMPOS'!$B$12%),IF(R9="Bajo",(SUM($N$26:$N$27)*'ADMIN TIEMPOS'!$B$13%),0))))</f>
        <v>0</v>
      </c>
    </row>
    <row r="10" spans="2:26" ht="14.4" x14ac:dyDescent="0.25">
      <c r="B10" s="391"/>
      <c r="C10" s="395"/>
      <c r="D10" s="395"/>
      <c r="E10" s="395"/>
      <c r="F10" s="395"/>
      <c r="G10" s="392"/>
      <c r="J10" s="30"/>
      <c r="K10" s="384" t="s">
        <v>72</v>
      </c>
      <c r="L10" s="385"/>
      <c r="M10" s="385"/>
      <c r="N10" s="207">
        <f>IFERROR('BASE CALCULO'!GT8,0)</f>
        <v>0</v>
      </c>
      <c r="P10" s="191" t="s">
        <v>73</v>
      </c>
      <c r="Q10" s="177" t="s">
        <v>63</v>
      </c>
      <c r="R10" s="181" t="s">
        <v>64</v>
      </c>
      <c r="S10" s="113" t="b">
        <f>IF(Q10="SI",IF(R10="Alto",(SUM($N$12:$N$14,$Q$21:$Q$22)*'ADMIN TIEMPOS'!$B$11%),IF(R10="Medio",(SUM($N$12:$N$14,$Q$21:$Q$22)*'ADMIN TIEMPOS'!$B$12%),IF(R10="Bajo",(SUM($N$12:$N$14,$Q$21:$Q$22)*'ADMIN TIEMPOS'!$B$13%),0))))</f>
        <v>0</v>
      </c>
      <c r="T10" s="244" t="b">
        <f>IF(Q10="SI",IF(R10="Alto",(SUM($N$26:$N$27)*'ADMIN TIEMPOS'!$B$11%),IF(R10="Medio",(SUM($N$26:$N$27)*'ADMIN TIEMPOS'!$B$12%),IF(R10="Bajo",(SUM($N$26:$N$27)*'ADMIN TIEMPOS'!$B$13%),0))))</f>
        <v>0</v>
      </c>
    </row>
    <row r="11" spans="2:26" ht="15" customHeight="1" x14ac:dyDescent="0.25">
      <c r="B11" s="391"/>
      <c r="C11" s="395"/>
      <c r="D11" s="395"/>
      <c r="E11" s="395"/>
      <c r="F11" s="395"/>
      <c r="G11" s="392"/>
      <c r="J11" s="30"/>
      <c r="K11" s="384" t="s">
        <v>74</v>
      </c>
      <c r="L11" s="385"/>
      <c r="M11" s="385"/>
      <c r="N11" s="207">
        <f>IFERROR('BASE CALCULO'!GT19,0)</f>
        <v>0</v>
      </c>
      <c r="O11" s="149"/>
      <c r="P11" s="191" t="s">
        <v>75</v>
      </c>
      <c r="Q11" s="177" t="s">
        <v>63</v>
      </c>
      <c r="R11" s="181" t="s">
        <v>64</v>
      </c>
      <c r="S11" s="113" t="b">
        <f>IF(Q11="SI",IF(R11="Alto",(SUM($N$12:$N$14,$Q$21:$Q$22)*'ADMIN TIEMPOS'!$B$11%),IF(R11="Medio",(SUM($N$12:$N$14,$Q$21:$Q$22)*'ADMIN TIEMPOS'!$B$12%),IF(R11="Bajo",(SUM($N$12:$N$14,$Q$21:$Q$22)*'ADMIN TIEMPOS'!$B$13%),0))))</f>
        <v>0</v>
      </c>
      <c r="T11" s="244" t="b">
        <f>IF(Q11="SI",IF(R11="Alto",(SUM($N$26:$N$27)*'ADMIN TIEMPOS'!$B$11%),IF(R11="Medio",(SUM($N$26:$N$27)*'ADMIN TIEMPOS'!$B$12%),IF(R11="Bajo",(SUM($N$26:$N$27)*'ADMIN TIEMPOS'!$B$13%),0))))</f>
        <v>0</v>
      </c>
    </row>
    <row r="12" spans="2:26" ht="14.4" x14ac:dyDescent="0.25">
      <c r="B12" s="362">
        <v>1</v>
      </c>
      <c r="C12" s="358" t="s">
        <v>76</v>
      </c>
      <c r="D12" s="358"/>
      <c r="E12" s="358"/>
      <c r="F12" s="358"/>
      <c r="G12" s="355">
        <f>SUM(G14:G18)</f>
        <v>0</v>
      </c>
      <c r="J12" s="31"/>
      <c r="K12" s="384" t="s">
        <v>77</v>
      </c>
      <c r="L12" s="385"/>
      <c r="M12" s="385"/>
      <c r="N12" s="207">
        <f>N10</f>
        <v>0</v>
      </c>
      <c r="P12" s="191" t="s">
        <v>78</v>
      </c>
      <c r="Q12" s="177" t="s">
        <v>63</v>
      </c>
      <c r="R12" s="181" t="s">
        <v>64</v>
      </c>
      <c r="S12" s="113" t="b">
        <f>IF(Q12="SI",IF(R12="Alto",(SUM($N$12:$N$14,$Q$21:$Q$22)*'ADMIN TIEMPOS'!$B$11%),IF(R12="Medio",(SUM($N$12:$N$14,$Q$21:$Q$22)*'ADMIN TIEMPOS'!$B$12%),IF(R12="Bajo",(SUM($N$12:$N$14,$Q$21:$Q$22)*'ADMIN TIEMPOS'!$B$13%),0))))</f>
        <v>0</v>
      </c>
      <c r="T12" s="244" t="b">
        <f>IF(Q12="SI",IF(R12="Alto",(SUM($N$26:$N$27)*'ADMIN TIEMPOS'!$B$11%),IF(R12="Medio",(SUM($N$26:$N$27)*'ADMIN TIEMPOS'!$B$12%),IF(R12="Bajo",(SUM($N$26:$N$27)*'ADMIN TIEMPOS'!$B$13%),0))))</f>
        <v>0</v>
      </c>
    </row>
    <row r="13" spans="2:26" ht="12.75" customHeight="1" x14ac:dyDescent="0.25">
      <c r="B13" s="362"/>
      <c r="C13" s="358"/>
      <c r="D13" s="358"/>
      <c r="E13" s="358"/>
      <c r="F13" s="358"/>
      <c r="G13" s="355"/>
      <c r="J13" s="32"/>
      <c r="K13" s="363" t="s">
        <v>79</v>
      </c>
      <c r="L13" s="364"/>
      <c r="M13" s="273" t="s">
        <v>63</v>
      </c>
      <c r="N13" s="207">
        <f>IF(M13="NO",0,'BASE CALCULO'!GT8*'ADMIN TIEMPOS'!B16%)</f>
        <v>0</v>
      </c>
      <c r="P13" s="191" t="s">
        <v>80</v>
      </c>
      <c r="Q13" s="177" t="s">
        <v>63</v>
      </c>
      <c r="R13" s="181" t="s">
        <v>64</v>
      </c>
      <c r="S13" s="113" t="b">
        <f>IF(Q13="SI",IF(R13="Alto",(SUM($N$12:$N$14,$Q$21:$Q$22)*'ADMIN TIEMPOS'!$B$11%),IF(R13="Medio",(SUM($N$12:$N$14,$Q$21:$Q$22)*'ADMIN TIEMPOS'!$B$12%),IF(R13="Bajo",(SUM($N$12:$N$14,$Q$21:$Q$22)*'ADMIN TIEMPOS'!$B$13%),0))))</f>
        <v>0</v>
      </c>
      <c r="T13" s="244" t="b">
        <f>IF(Q13="SI",IF(R13="Alto",(SUM($N$26:$N$27)*'ADMIN TIEMPOS'!$B$11%),IF(R13="Medio",(SUM($N$26:$N$27)*'ADMIN TIEMPOS'!$B$12%),IF(R13="Bajo",(SUM($N$26:$N$27)*'ADMIN TIEMPOS'!$B$13%),0))))</f>
        <v>0</v>
      </c>
    </row>
    <row r="14" spans="2:26" ht="14.25" customHeight="1" x14ac:dyDescent="0.25">
      <c r="B14" s="188">
        <v>1.1000000000000001</v>
      </c>
      <c r="C14" s="354" t="s">
        <v>81</v>
      </c>
      <c r="D14" s="354"/>
      <c r="E14" s="354"/>
      <c r="F14" s="354"/>
      <c r="G14" s="195">
        <f>'BASE CALCULO'!GN8</f>
        <v>0</v>
      </c>
      <c r="J14" s="186"/>
      <c r="K14" s="384" t="s">
        <v>82</v>
      </c>
      <c r="L14" s="385"/>
      <c r="M14" s="385"/>
      <c r="N14" s="208">
        <f>IFERROR((((N12*10%)+N12)/'ADMIN TIEMPOS'!B25)/(SUM(Q18)+(SUM(R18)*0.5)),0)</f>
        <v>0</v>
      </c>
      <c r="P14" s="191" t="s">
        <v>83</v>
      </c>
      <c r="Q14" s="177" t="s">
        <v>63</v>
      </c>
      <c r="R14" s="181" t="s">
        <v>64</v>
      </c>
      <c r="S14" s="113" t="b">
        <f>IF(Q14="SI",IF(R14="Alto",(SUM($N$12:$N$14,$Q$21:$Q$22)*'ADMIN TIEMPOS'!$B$11%),IF(R14="Medio",(SUM($N$12:$N$14,$Q$21:$Q$22)*'ADMIN TIEMPOS'!$B$12%),IF(R14="Bajo",(SUM($N$12:$N$14,$Q$21:$Q$22)*'ADMIN TIEMPOS'!$B$13%),0))))</f>
        <v>0</v>
      </c>
      <c r="T14" s="244" t="b">
        <f>IF(Q14="SI",IF(R14="Alto",(SUM($N$26:$N$27)*'ADMIN TIEMPOS'!$B$11%),IF(R14="Medio",(SUM($N$26:$N$27)*'ADMIN TIEMPOS'!$B$12%),IF(R14="Bajo",(SUM($N$26:$N$27)*'ADMIN TIEMPOS'!$B$13%),0))))</f>
        <v>0</v>
      </c>
    </row>
    <row r="15" spans="2:26" ht="13.5" customHeight="1" x14ac:dyDescent="0.25">
      <c r="B15" s="252">
        <v>1.2</v>
      </c>
      <c r="C15" s="354" t="s">
        <v>84</v>
      </c>
      <c r="D15" s="354"/>
      <c r="E15" s="354"/>
      <c r="F15" s="354"/>
      <c r="G15" s="195">
        <f>IF(Q33="SI",IF(N17=0,0,'ADMIN TIEMPOS'!B22),0)</f>
        <v>0</v>
      </c>
      <c r="J15" s="187"/>
      <c r="K15" s="384" t="s">
        <v>85</v>
      </c>
      <c r="L15" s="385"/>
      <c r="M15" s="385"/>
      <c r="N15" s="208" t="str">
        <f>IF(Q33="SI",IF(T18='ESTANDAR HORAS'!A33,ROUNDUP(((SUM(N11:N14,N16)/'ADMIN TIEMPOS'!B25)*'ADMIN TIEMPOS'!B20)+'ADMIN TIEMPOS'!B23,0),Q18*ROUNDUP(((SUM(N11:N14,N16)/'ADMIN TIEMPOS'!B25)*'ADMIN TIEMPOS'!B20)+'ADMIN TIEMPOS'!B23,0)),"0.0")</f>
        <v>0.0</v>
      </c>
      <c r="P15" s="191" t="s">
        <v>86</v>
      </c>
      <c r="Q15" s="177" t="s">
        <v>63</v>
      </c>
      <c r="R15" s="181" t="s">
        <v>64</v>
      </c>
      <c r="S15" s="113" t="b">
        <f>IF(Q15="SI",IF(R15="Alto",(SUM($N$12:$N$14,$Q$21:$Q$22)*'ADMIN TIEMPOS'!$B$11%),IF(R15="Medio",(SUM($N$12:$N$14,$Q$21:$Q$22)*'ADMIN TIEMPOS'!$B$12%),IF(R15="Bajo",(SUM($N$12:$N$14,$Q$21:$Q$22)*'ADMIN TIEMPOS'!$B$13%),0))))</f>
        <v>0</v>
      </c>
      <c r="T15" s="244" t="b">
        <f>IF(Q15="SI",IF(R15="Alto",(SUM($N$26:$N$27)*'ADMIN TIEMPOS'!$B$11%),IF(R15="Medio",(SUM($N$26:$N$27)*'ADMIN TIEMPOS'!$B$12%),IF(R15="Bajo",(SUM($N$26:$N$27)*'ADMIN TIEMPOS'!$B$13%),0))))</f>
        <v>0</v>
      </c>
    </row>
    <row r="16" spans="2:26" ht="13.8" thickBot="1" x14ac:dyDescent="0.3">
      <c r="B16" s="252">
        <v>1.3</v>
      </c>
      <c r="C16" s="354" t="s">
        <v>87</v>
      </c>
      <c r="D16" s="354"/>
      <c r="E16" s="354"/>
      <c r="F16" s="354"/>
      <c r="G16" s="195" t="str">
        <f>IF(Q33="SI",IF(N17=0,0,'ADMIN TIEMPOS'!B18*Q23),"0.0")</f>
        <v>0.0</v>
      </c>
      <c r="J16" s="187"/>
      <c r="K16" s="384" t="str">
        <f>CONCATENATE("ROM-Nivel de Incertidumbre ",R4,"%")</f>
        <v>ROM-Nivel de Incertidumbre 10%</v>
      </c>
      <c r="L16" s="385"/>
      <c r="M16" s="385"/>
      <c r="N16" s="207">
        <f>SUM(N12:N14)*10%+S16</f>
        <v>0</v>
      </c>
      <c r="P16" s="170" t="s">
        <v>88</v>
      </c>
      <c r="Q16" s="170">
        <f>COUNTIFS(Q7:Q15,"Si")</f>
        <v>0</v>
      </c>
      <c r="R16" s="170">
        <f>COUNTIFS(R7:R15,"N/A")</f>
        <v>9</v>
      </c>
      <c r="S16" s="113">
        <f>SUM(S7:S15)</f>
        <v>0</v>
      </c>
      <c r="T16" s="170">
        <f>SUM(T7:T15)</f>
        <v>0</v>
      </c>
    </row>
    <row r="17" spans="2:20" ht="15.6" x14ac:dyDescent="0.3">
      <c r="B17" s="188" t="s">
        <v>89</v>
      </c>
      <c r="C17" s="354" t="s">
        <v>90</v>
      </c>
      <c r="D17" s="354"/>
      <c r="E17" s="354"/>
      <c r="F17" s="354"/>
      <c r="G17" s="195">
        <f>IF(N17=0,0,Q21)</f>
        <v>0</v>
      </c>
      <c r="J17" s="187"/>
      <c r="K17" s="405" t="s">
        <v>91</v>
      </c>
      <c r="L17" s="406"/>
      <c r="M17" s="406"/>
      <c r="N17" s="272">
        <f>SUM(N11:N16,Q21,Q22)</f>
        <v>0</v>
      </c>
      <c r="P17" s="257" t="s">
        <v>92</v>
      </c>
      <c r="Q17" s="263">
        <v>1</v>
      </c>
      <c r="R17" s="263">
        <v>0.5</v>
      </c>
      <c r="S17" s="264"/>
      <c r="T17" s="265" t="s">
        <v>93</v>
      </c>
    </row>
    <row r="18" spans="2:20" x14ac:dyDescent="0.25">
      <c r="B18" s="188" t="s">
        <v>94</v>
      </c>
      <c r="C18" s="354" t="s">
        <v>95</v>
      </c>
      <c r="D18" s="354"/>
      <c r="E18" s="354"/>
      <c r="F18" s="354"/>
      <c r="G18" s="195">
        <f>IF(N17=0,0,Q22)</f>
        <v>0</v>
      </c>
      <c r="J18" s="186"/>
      <c r="K18" s="356" t="s">
        <v>96</v>
      </c>
      <c r="L18" s="357"/>
      <c r="M18" s="357"/>
      <c r="N18" s="203">
        <f>IFERROR(((N17/(SUM(Q18)+(SUM(R18)*0.5)))),0)</f>
        <v>0</v>
      </c>
      <c r="O18" s="34"/>
      <c r="P18" s="258" t="s">
        <v>97</v>
      </c>
      <c r="Q18" s="177">
        <v>0</v>
      </c>
      <c r="R18" s="177">
        <v>0</v>
      </c>
      <c r="S18" s="201"/>
      <c r="T18" s="181" t="s">
        <v>98</v>
      </c>
    </row>
    <row r="19" spans="2:20" ht="13.8" thickBot="1" x14ac:dyDescent="0.3">
      <c r="B19" s="362">
        <v>2</v>
      </c>
      <c r="C19" s="358" t="s">
        <v>99</v>
      </c>
      <c r="D19" s="358"/>
      <c r="E19" s="358"/>
      <c r="F19" s="358"/>
      <c r="G19" s="355">
        <f>'BASE CALCULO'!GO21</f>
        <v>0</v>
      </c>
      <c r="J19" s="187"/>
      <c r="K19" s="356" t="s">
        <v>100</v>
      </c>
      <c r="L19" s="357"/>
      <c r="M19" s="357"/>
      <c r="N19" s="203">
        <f>IFERROR(((N17/(SUM(Q18)+(SUM(R18)*0.5)))*(SUM(R18)))/2,0)</f>
        <v>0</v>
      </c>
      <c r="O19" s="112"/>
      <c r="P19" s="259" t="s">
        <v>101</v>
      </c>
      <c r="Q19" s="178">
        <v>1</v>
      </c>
      <c r="R19" s="178">
        <v>0</v>
      </c>
      <c r="S19" s="202"/>
      <c r="T19" s="182" t="s">
        <v>102</v>
      </c>
    </row>
    <row r="20" spans="2:20" ht="13.5" customHeight="1" thickBot="1" x14ac:dyDescent="0.3">
      <c r="B20" s="362"/>
      <c r="C20" s="358"/>
      <c r="D20" s="358"/>
      <c r="E20" s="358"/>
      <c r="F20" s="358"/>
      <c r="G20" s="355"/>
      <c r="J20" s="33"/>
      <c r="K20" s="356" t="s">
        <v>103</v>
      </c>
      <c r="L20" s="357"/>
      <c r="M20" s="357"/>
      <c r="N20" s="203">
        <f>IFERROR((N17/'ADMIN TIEMPOS'!B25)/(SUM(Q18)+(R18*0.5)),0)</f>
        <v>0</v>
      </c>
      <c r="O20" s="112"/>
      <c r="P20" s="176" t="s">
        <v>104</v>
      </c>
      <c r="Q20" s="176"/>
      <c r="R20" s="176">
        <v>2</v>
      </c>
    </row>
    <row r="21" spans="2:20" x14ac:dyDescent="0.25">
      <c r="B21" s="362">
        <v>3</v>
      </c>
      <c r="C21" s="358" t="s">
        <v>105</v>
      </c>
      <c r="D21" s="358"/>
      <c r="E21" s="358"/>
      <c r="F21" s="358" t="s">
        <v>106</v>
      </c>
      <c r="G21" s="355">
        <f>SUM(G23:G29)</f>
        <v>0</v>
      </c>
      <c r="J21" s="32"/>
      <c r="K21" s="356" t="s">
        <v>107</v>
      </c>
      <c r="L21" s="357"/>
      <c r="M21" s="357"/>
      <c r="N21" s="203">
        <f>N20/5</f>
        <v>0</v>
      </c>
      <c r="O21" s="183"/>
      <c r="P21" s="323" t="s">
        <v>90</v>
      </c>
      <c r="Q21" s="179">
        <v>0</v>
      </c>
    </row>
    <row r="22" spans="2:20" ht="14.25" customHeight="1" thickBot="1" x14ac:dyDescent="0.3">
      <c r="B22" s="362" t="s">
        <v>108</v>
      </c>
      <c r="C22" s="358" t="s">
        <v>109</v>
      </c>
      <c r="D22" s="358"/>
      <c r="E22" s="358"/>
      <c r="F22" s="358" t="s">
        <v>106</v>
      </c>
      <c r="G22" s="355"/>
      <c r="H22" s="34"/>
      <c r="J22" s="110"/>
      <c r="K22" s="398" t="s">
        <v>110</v>
      </c>
      <c r="L22" s="399"/>
      <c r="M22" s="399"/>
      <c r="N22" s="204">
        <f>N20/20</f>
        <v>0</v>
      </c>
      <c r="O22" s="112"/>
      <c r="P22" s="325" t="s">
        <v>95</v>
      </c>
      <c r="Q22" s="284">
        <v>0</v>
      </c>
    </row>
    <row r="23" spans="2:20" ht="14.25" customHeight="1" thickBot="1" x14ac:dyDescent="0.3">
      <c r="B23" s="359">
        <v>3.1</v>
      </c>
      <c r="C23" s="354" t="s">
        <v>111</v>
      </c>
      <c r="D23" s="354"/>
      <c r="E23" s="354"/>
      <c r="F23" s="354"/>
      <c r="G23" s="194">
        <f>'BASE CALCULO'!GP21</f>
        <v>0</v>
      </c>
      <c r="H23" s="34"/>
      <c r="I23" s="34"/>
      <c r="J23" s="110"/>
      <c r="K23" s="200"/>
      <c r="L23" s="200"/>
      <c r="M23" s="200"/>
      <c r="N23" s="200"/>
      <c r="O23" s="112"/>
      <c r="P23" s="324" t="s">
        <v>112</v>
      </c>
      <c r="Q23" s="180">
        <v>0</v>
      </c>
      <c r="R23" s="112"/>
    </row>
    <row r="24" spans="2:20" ht="14.25" customHeight="1" thickBot="1" x14ac:dyDescent="0.3">
      <c r="B24" s="360"/>
      <c r="C24" s="354" t="s">
        <v>113</v>
      </c>
      <c r="D24" s="354"/>
      <c r="E24" s="354"/>
      <c r="F24" s="354"/>
      <c r="G24" s="194">
        <f>N16</f>
        <v>0</v>
      </c>
      <c r="H24" s="34"/>
      <c r="I24" s="34"/>
      <c r="J24" s="110"/>
      <c r="K24" s="400" t="s">
        <v>114</v>
      </c>
      <c r="L24" s="401"/>
      <c r="M24" s="402"/>
      <c r="N24" s="184">
        <f>'BASE CALCULO'!GL14</f>
        <v>418</v>
      </c>
      <c r="O24" s="112"/>
      <c r="P24" s="112"/>
      <c r="Q24" s="112"/>
      <c r="R24" s="112"/>
    </row>
    <row r="25" spans="2:20" ht="14.25" customHeight="1" x14ac:dyDescent="0.25">
      <c r="B25" s="361"/>
      <c r="C25" s="354">
        <f>IF(G25&lt;&gt;0,"Prueba BUAT",0)</f>
        <v>0</v>
      </c>
      <c r="D25" s="354"/>
      <c r="E25" s="354"/>
      <c r="F25" s="354"/>
      <c r="G25" s="194">
        <f>N13</f>
        <v>0</v>
      </c>
      <c r="H25" s="34"/>
      <c r="I25" s="34"/>
      <c r="J25" s="110"/>
      <c r="K25" s="363" t="s">
        <v>115</v>
      </c>
      <c r="L25" s="403"/>
      <c r="M25" s="404"/>
      <c r="N25" s="309">
        <f>'BASE CALCULO'!GL15</f>
        <v>0</v>
      </c>
      <c r="O25" s="112"/>
      <c r="P25" s="257" t="s">
        <v>116</v>
      </c>
      <c r="Q25" s="179">
        <v>0</v>
      </c>
      <c r="R25" s="112"/>
    </row>
    <row r="26" spans="2:20" ht="14.25" customHeight="1" thickBot="1" x14ac:dyDescent="0.3">
      <c r="B26" s="188">
        <f>IF(Q31="SI",3.2,0)</f>
        <v>3.2</v>
      </c>
      <c r="C26" s="354" t="str">
        <f>IF(Q31="SI","Ejecución Ciclo 2",G26)</f>
        <v>Ejecución Ciclo 2</v>
      </c>
      <c r="D26" s="354"/>
      <c r="E26" s="354"/>
      <c r="F26" s="354"/>
      <c r="G26" s="194">
        <f>'BASE CALCULO'!GQ21</f>
        <v>0</v>
      </c>
      <c r="H26" s="34"/>
      <c r="I26" s="34"/>
      <c r="J26" s="110"/>
      <c r="K26" s="260" t="s">
        <v>117</v>
      </c>
      <c r="L26" s="261">
        <f>IF(N9=0,100,(N24*100)/(N24+N9))</f>
        <v>100</v>
      </c>
      <c r="M26" s="262" t="s">
        <v>118</v>
      </c>
      <c r="N26" s="185">
        <f>IFERROR('BASE CALCULO'!GT14,0)</f>
        <v>543.4</v>
      </c>
      <c r="O26" s="112"/>
      <c r="P26" s="259" t="s">
        <v>95</v>
      </c>
      <c r="Q26" s="180">
        <v>0</v>
      </c>
      <c r="R26" s="112"/>
    </row>
    <row r="27" spans="2:20" ht="14.25" customHeight="1" thickBot="1" x14ac:dyDescent="0.3">
      <c r="B27" s="188">
        <f>IF(Q32="SI",3.3,0)</f>
        <v>0</v>
      </c>
      <c r="C27" s="354">
        <f>IF(Q32="SI","Ejecución Ciclo 3",G27)</f>
        <v>0</v>
      </c>
      <c r="D27" s="354"/>
      <c r="E27" s="354"/>
      <c r="F27" s="354"/>
      <c r="G27" s="194">
        <f>'BASE CALCULO'!GR21</f>
        <v>0</v>
      </c>
      <c r="H27" s="34"/>
      <c r="I27" s="34"/>
      <c r="J27" s="110"/>
      <c r="K27" s="363" t="s">
        <v>82</v>
      </c>
      <c r="L27" s="403"/>
      <c r="M27" s="404"/>
      <c r="N27" s="220">
        <f>IFERROR((((N26*10%)+N26)/'ADMIN TIEMPOS'!B25)/(SUM(Q19)+(SUM(R19)*0.5)),0)</f>
        <v>66.415555555555557</v>
      </c>
      <c r="O27" s="112"/>
      <c r="R27" s="112"/>
    </row>
    <row r="28" spans="2:20" ht="14.25" customHeight="1" thickBot="1" x14ac:dyDescent="0.3">
      <c r="B28" s="188">
        <f>IF(Q31="NO",3.2,IF(Q32="NO",3.3,3.4))</f>
        <v>3.3</v>
      </c>
      <c r="C28" s="354" t="s">
        <v>119</v>
      </c>
      <c r="D28" s="354"/>
      <c r="E28" s="354"/>
      <c r="F28" s="354"/>
      <c r="G28" s="195">
        <f>N14</f>
        <v>0</v>
      </c>
      <c r="H28" s="34"/>
      <c r="I28" s="34"/>
      <c r="J28" s="110"/>
      <c r="K28" s="363" t="str">
        <f>CONCATENATE("ROM-Nivel de Incertidumbre  ",R4,"%")</f>
        <v>ROM-Nivel de Incertidumbre  10%</v>
      </c>
      <c r="L28" s="403"/>
      <c r="M28" s="404"/>
      <c r="N28" s="221">
        <f>IF(Q19=0,IF(R19=0,0,SUM(N26:N27)*10%+SUM(S7:S15)),SUM(N26:N27)*10%+SUM(T7:T15))</f>
        <v>60.981555555555559</v>
      </c>
      <c r="O28" s="112"/>
      <c r="P28" s="257" t="s">
        <v>120</v>
      </c>
      <c r="Q28" s="180">
        <v>0</v>
      </c>
      <c r="R28" s="112"/>
    </row>
    <row r="29" spans="2:20" ht="14.25" customHeight="1" thickBot="1" x14ac:dyDescent="0.3">
      <c r="B29" s="188">
        <f>IF(Q31="NO",3.3,IF(Q32="NO",3.4,3.5))</f>
        <v>3.4</v>
      </c>
      <c r="C29" s="354" t="s">
        <v>121</v>
      </c>
      <c r="D29" s="354"/>
      <c r="E29" s="354"/>
      <c r="F29" s="354"/>
      <c r="G29" s="195" t="str">
        <f>IF(Q33="SI",IF(N10&lt;&gt;0,IF(T18='ESTANDAR HORAS'!A33,ROUNDUP(((SUM(N11:N14,N16)/'ADMIN TIEMPOS'!B25)*'ADMIN TIEMPOS'!B20),0),Q18*ROUNDUP(((SUM(N11:N14,N16)/'ADMIN TIEMPOS'!B25)*'ADMIN TIEMPOS'!B20),0)),0),"0.0")</f>
        <v>0.0</v>
      </c>
      <c r="H29" s="34"/>
      <c r="I29" s="34"/>
      <c r="J29" s="110"/>
      <c r="K29" s="384" t="s">
        <v>122</v>
      </c>
      <c r="L29" s="385"/>
      <c r="M29" s="385"/>
      <c r="N29" s="220">
        <f>IF(Q18=0,IF(T19='ESTANDAR HORAS'!A33,ROUNDUP(((SUM(N26:N28,Q25:Q26)/'ADMIN TIEMPOS'!B25)*0.5),0),(ROUNDUP(((SUM(N26:N28,Q25:Q26)/'ADMIN TIEMPOS'!B25)*0.5),0))*Q19),IF(T18='ESTANDAR HORAS'!A33,0,IF(T19='ESTANDAR HORAS'!A33,ROUNDUP(((SUM(N26:N28,Q25:Q26)/'ADMIN TIEMPOS'!B25)*0.5),0),(ROUNDUP(((SUM(N26:N28,Q25:Q26)/'ADMIN TIEMPOS'!B25)*0.5),0))*Q19)))</f>
        <v>38</v>
      </c>
      <c r="O29" s="112"/>
      <c r="P29" s="112"/>
      <c r="Q29" s="112"/>
      <c r="R29" s="112"/>
    </row>
    <row r="30" spans="2:20" ht="14.25" customHeight="1" x14ac:dyDescent="0.3">
      <c r="B30" s="411">
        <v>4</v>
      </c>
      <c r="C30" s="409" t="s">
        <v>123</v>
      </c>
      <c r="D30" s="409"/>
      <c r="E30" s="409"/>
      <c r="F30" s="409"/>
      <c r="G30" s="407">
        <f>SUM(G32:G33)</f>
        <v>0</v>
      </c>
      <c r="H30" s="34"/>
      <c r="I30" s="34"/>
      <c r="J30" s="110"/>
      <c r="K30" s="405" t="s">
        <v>124</v>
      </c>
      <c r="L30" s="406"/>
      <c r="M30" s="406"/>
      <c r="N30" s="272">
        <f>SUM(N26:N29,Q25:Q26)+G41</f>
        <v>729.6971111111111</v>
      </c>
      <c r="O30" s="112"/>
      <c r="P30" s="396" t="s">
        <v>125</v>
      </c>
      <c r="Q30" s="397"/>
      <c r="R30" s="112"/>
    </row>
    <row r="31" spans="2:20" ht="14.25" customHeight="1" thickBot="1" x14ac:dyDescent="0.3">
      <c r="B31" s="412"/>
      <c r="C31" s="410"/>
      <c r="D31" s="410"/>
      <c r="E31" s="410"/>
      <c r="F31" s="410"/>
      <c r="G31" s="408"/>
      <c r="H31" s="34"/>
      <c r="I31" s="34"/>
      <c r="J31" s="110"/>
      <c r="K31" s="356" t="s">
        <v>126</v>
      </c>
      <c r="L31" s="357"/>
      <c r="M31" s="357"/>
      <c r="N31" s="203">
        <f>IFERROR(((N30/(SUM(Q19)+(SUM(R19)*0.5)))),0)</f>
        <v>729.6971111111111</v>
      </c>
      <c r="O31" s="112"/>
      <c r="P31" s="258" t="s">
        <v>127</v>
      </c>
      <c r="Q31" s="284" t="s">
        <v>128</v>
      </c>
      <c r="R31" s="112"/>
    </row>
    <row r="32" spans="2:20" ht="14.25" customHeight="1" x14ac:dyDescent="0.25">
      <c r="B32" s="188">
        <v>4.0999999999999996</v>
      </c>
      <c r="C32" s="354" t="s">
        <v>129</v>
      </c>
      <c r="D32" s="354"/>
      <c r="E32" s="354"/>
      <c r="F32" s="354"/>
      <c r="G32" s="195">
        <f>'BASE CALCULO'!GS21</f>
        <v>0</v>
      </c>
      <c r="H32" s="34"/>
      <c r="I32" s="34"/>
      <c r="J32" s="110"/>
      <c r="K32" s="356" t="s">
        <v>130</v>
      </c>
      <c r="L32" s="357"/>
      <c r="M32" s="357"/>
      <c r="N32" s="203">
        <f>IFERROR(((N30/(SUM(Q19)+(SUM(R19)*0.5)))*(SUM(R19)))/2,0)</f>
        <v>0</v>
      </c>
      <c r="O32" s="112"/>
      <c r="P32" s="258" t="s">
        <v>131</v>
      </c>
      <c r="Q32" s="284" t="s">
        <v>63</v>
      </c>
      <c r="R32" s="112"/>
    </row>
    <row r="33" spans="2:18" ht="14.25" customHeight="1" thickBot="1" x14ac:dyDescent="0.3">
      <c r="B33" s="188">
        <v>4.2</v>
      </c>
      <c r="C33" s="354" t="s">
        <v>132</v>
      </c>
      <c r="D33" s="354"/>
      <c r="E33" s="354"/>
      <c r="F33" s="354"/>
      <c r="G33" s="195" t="str">
        <f>IF(Q33="SI",SUM('ADMIN TIEMPOS'!B19,'ADMIN TIEMPOS'!B21)*Q23,"0.0")</f>
        <v>0.0</v>
      </c>
      <c r="H33" s="34"/>
      <c r="I33" s="34"/>
      <c r="J33" s="110"/>
      <c r="K33" s="356" t="s">
        <v>103</v>
      </c>
      <c r="L33" s="357"/>
      <c r="M33" s="357"/>
      <c r="N33" s="203">
        <f>IFERROR((N30/'ADMIN TIEMPOS'!B25)/(SUM(Q19)+(R19*0.5)),0)</f>
        <v>81.077456790123449</v>
      </c>
      <c r="O33" s="112"/>
      <c r="P33" s="259" t="s">
        <v>85</v>
      </c>
      <c r="Q33" s="180" t="s">
        <v>63</v>
      </c>
      <c r="R33" s="112"/>
    </row>
    <row r="34" spans="2:18" ht="14.25" customHeight="1" thickBot="1" x14ac:dyDescent="0.3">
      <c r="H34" s="34"/>
      <c r="I34" s="34"/>
      <c r="J34" s="110"/>
      <c r="K34" s="356" t="s">
        <v>107</v>
      </c>
      <c r="L34" s="357"/>
      <c r="M34" s="357"/>
      <c r="N34" s="203">
        <f>N33/5</f>
        <v>16.215491358024689</v>
      </c>
      <c r="O34" s="112"/>
      <c r="P34" s="112"/>
      <c r="Q34" s="112"/>
      <c r="R34" s="112"/>
    </row>
    <row r="35" spans="2:18" ht="14.25" customHeight="1" thickBot="1" x14ac:dyDescent="0.3">
      <c r="B35" s="422">
        <v>5</v>
      </c>
      <c r="C35" s="419" t="s">
        <v>133</v>
      </c>
      <c r="D35" s="419"/>
      <c r="E35" s="419"/>
      <c r="F35" s="419"/>
      <c r="G35" s="420">
        <f>N17+N30</f>
        <v>729.6971111111111</v>
      </c>
      <c r="H35" s="34"/>
      <c r="I35" s="34"/>
      <c r="J35" s="110"/>
      <c r="K35" s="398" t="s">
        <v>110</v>
      </c>
      <c r="L35" s="399"/>
      <c r="M35" s="399"/>
      <c r="N35" s="204">
        <f>N33/20</f>
        <v>4.0538728395061723</v>
      </c>
      <c r="O35" s="112"/>
      <c r="P35" s="413" t="s">
        <v>134</v>
      </c>
      <c r="Q35" s="414"/>
      <c r="R35" s="415"/>
    </row>
    <row r="36" spans="2:18" ht="14.25" customHeight="1" thickBot="1" x14ac:dyDescent="0.3">
      <c r="B36" s="422"/>
      <c r="C36" s="419"/>
      <c r="D36" s="419"/>
      <c r="E36" s="419"/>
      <c r="F36" s="419"/>
      <c r="G36" s="420"/>
      <c r="H36" s="34"/>
      <c r="I36" s="34"/>
      <c r="J36" s="110"/>
      <c r="K36" s="255"/>
      <c r="L36" s="255"/>
      <c r="M36" s="255"/>
      <c r="N36" s="200"/>
      <c r="O36" s="112"/>
      <c r="P36" s="321" t="s">
        <v>135</v>
      </c>
      <c r="Q36" s="317">
        <f>COUNTIF('MATRIZ TRAZA'!F8:F1048576,"Positivo")</f>
        <v>361</v>
      </c>
      <c r="R36" s="318">
        <f>IFERROR(CONCATENATE(ROUND((Q36*100)/N6,0),"%"),0)</f>
        <v>0</v>
      </c>
    </row>
    <row r="37" spans="2:18" ht="14.25" customHeight="1" x14ac:dyDescent="0.25">
      <c r="B37" s="270">
        <v>5.0999999999999996</v>
      </c>
      <c r="C37" s="421" t="s">
        <v>103</v>
      </c>
      <c r="D37" s="421"/>
      <c r="E37" s="421"/>
      <c r="F37" s="421"/>
      <c r="G37" s="271">
        <f>N20+N33</f>
        <v>81.077456790123449</v>
      </c>
      <c r="H37" s="34"/>
      <c r="I37" s="34"/>
      <c r="J37" s="110"/>
      <c r="K37" s="400" t="s">
        <v>136</v>
      </c>
      <c r="L37" s="401"/>
      <c r="M37" s="402"/>
      <c r="N37" s="184">
        <f>'BASE CALCULO'!GL27</f>
        <v>0</v>
      </c>
      <c r="O37" s="112"/>
      <c r="P37" s="321" t="s">
        <v>137</v>
      </c>
      <c r="Q37" s="317">
        <f>COUNTIF('MATRIZ TRAZA'!F8:F1048576,"Negativo ")</f>
        <v>0</v>
      </c>
      <c r="R37" s="318">
        <f>IFERROR(CONCATENATE(ROUND((Q37*100)/N6,0),"%"),0)</f>
        <v>0</v>
      </c>
    </row>
    <row r="38" spans="2:18" ht="14.25" customHeight="1" thickBot="1" x14ac:dyDescent="0.35">
      <c r="B38" s="270">
        <v>5.2</v>
      </c>
      <c r="C38" s="421" t="s">
        <v>107</v>
      </c>
      <c r="D38" s="421"/>
      <c r="E38" s="421"/>
      <c r="F38" s="421"/>
      <c r="G38" s="271">
        <f>N21+N34</f>
        <v>16.215491358024689</v>
      </c>
      <c r="H38" s="34"/>
      <c r="I38" s="34"/>
      <c r="J38" s="110"/>
      <c r="K38" s="405" t="s">
        <v>138</v>
      </c>
      <c r="L38" s="406"/>
      <c r="M38" s="406"/>
      <c r="N38" s="272">
        <f>SUM(N37,Q33:Q34)</f>
        <v>0</v>
      </c>
      <c r="O38" s="112"/>
      <c r="P38" s="322" t="s">
        <v>139</v>
      </c>
      <c r="Q38" s="319">
        <f>COUNTIF('MATRIZ TRAZA'!F8:F1048576,"Excepcion")</f>
        <v>0</v>
      </c>
      <c r="R38" s="320">
        <f>IFERROR(CONCATENATE(ROUND((Q38*100)/N6,0),"%"),0)</f>
        <v>0</v>
      </c>
    </row>
    <row r="39" spans="2:18" ht="14.25" customHeight="1" x14ac:dyDescent="0.25">
      <c r="B39" s="270">
        <v>5.3</v>
      </c>
      <c r="C39" s="421" t="s">
        <v>110</v>
      </c>
      <c r="D39" s="421"/>
      <c r="E39" s="421"/>
      <c r="F39" s="421"/>
      <c r="G39" s="271">
        <f>N22+N35</f>
        <v>4.0538728395061723</v>
      </c>
      <c r="H39" s="34"/>
      <c r="I39" s="34"/>
      <c r="J39" s="110"/>
      <c r="K39" s="356" t="s">
        <v>103</v>
      </c>
      <c r="L39" s="357"/>
      <c r="M39" s="357"/>
      <c r="N39" s="203">
        <f>IFERROR((N38/'ADMIN TIEMPOS'!B25)/(SUM(Q18)+(R18*0.5)),0)</f>
        <v>0</v>
      </c>
      <c r="O39" s="112"/>
      <c r="P39" s="112"/>
      <c r="Q39" s="112"/>
      <c r="R39" s="112"/>
    </row>
    <row r="40" spans="2:18" ht="14.25" customHeight="1" x14ac:dyDescent="0.25">
      <c r="B40" s="96"/>
      <c r="G40" s="34"/>
      <c r="H40" s="34"/>
      <c r="I40" s="34"/>
      <c r="J40" s="110"/>
      <c r="K40" s="356" t="s">
        <v>107</v>
      </c>
      <c r="L40" s="357"/>
      <c r="M40" s="357"/>
      <c r="N40" s="203">
        <f>N39/5</f>
        <v>0</v>
      </c>
      <c r="O40" s="112"/>
      <c r="P40" s="112"/>
      <c r="Q40" s="112"/>
      <c r="R40" s="112"/>
    </row>
    <row r="41" spans="2:18" ht="14.25" customHeight="1" thickBot="1" x14ac:dyDescent="0.3">
      <c r="B41" s="266">
        <v>6.1</v>
      </c>
      <c r="C41" s="423" t="s">
        <v>140</v>
      </c>
      <c r="D41" s="424"/>
      <c r="E41" s="424"/>
      <c r="F41" s="425"/>
      <c r="G41" s="267">
        <f>'BASE CALCULO'!GN14*(Q19+R19)</f>
        <v>20.900000000000002</v>
      </c>
      <c r="H41" s="34"/>
      <c r="I41" s="34"/>
      <c r="J41" s="110"/>
      <c r="K41" s="398" t="s">
        <v>110</v>
      </c>
      <c r="L41" s="399"/>
      <c r="M41" s="399"/>
      <c r="N41" s="204">
        <f>N39/20</f>
        <v>0</v>
      </c>
      <c r="O41" s="112"/>
      <c r="P41" s="112"/>
      <c r="Q41" s="112"/>
      <c r="R41" s="112"/>
    </row>
    <row r="42" spans="2:18" ht="14.25" customHeight="1" x14ac:dyDescent="0.25">
      <c r="B42" s="266">
        <v>6.2</v>
      </c>
      <c r="C42" s="423" t="s">
        <v>141</v>
      </c>
      <c r="D42" s="424"/>
      <c r="E42" s="424"/>
      <c r="F42" s="425"/>
      <c r="G42" s="267">
        <f>'BASE CALCULO'!GO14</f>
        <v>41.800000000000004</v>
      </c>
      <c r="H42" s="34"/>
      <c r="I42" s="34"/>
      <c r="J42" s="110"/>
      <c r="K42" s="255"/>
      <c r="L42" s="255"/>
      <c r="M42" s="255"/>
      <c r="N42" s="200"/>
      <c r="O42" s="112"/>
      <c r="P42" s="112"/>
      <c r="Q42" s="112"/>
      <c r="R42" s="112"/>
    </row>
    <row r="43" spans="2:18" ht="14.25" customHeight="1" x14ac:dyDescent="0.25">
      <c r="B43" s="266">
        <v>6.3</v>
      </c>
      <c r="C43" s="423" t="s">
        <v>142</v>
      </c>
      <c r="D43" s="424"/>
      <c r="E43" s="424"/>
      <c r="F43" s="425"/>
      <c r="G43" s="267">
        <f>'BASE CALCULO'!GQ14</f>
        <v>20.900000000000002</v>
      </c>
      <c r="H43" s="34"/>
      <c r="I43" s="34"/>
      <c r="J43" s="110"/>
      <c r="K43" s="255"/>
      <c r="L43" s="255"/>
      <c r="M43" s="255"/>
      <c r="N43" s="200"/>
      <c r="O43" s="112"/>
      <c r="P43" s="112"/>
      <c r="Q43" s="112"/>
      <c r="R43" s="112"/>
    </row>
    <row r="44" spans="2:18" ht="14.25" customHeight="1" x14ac:dyDescent="0.25">
      <c r="B44" s="266">
        <v>6.4</v>
      </c>
      <c r="C44" s="423" t="s">
        <v>143</v>
      </c>
      <c r="D44" s="424"/>
      <c r="E44" s="424"/>
      <c r="F44" s="425"/>
      <c r="G44" s="267">
        <f>'BASE CALCULO'!GS14</f>
        <v>41.800000000000004</v>
      </c>
      <c r="H44" s="34"/>
      <c r="I44" s="34"/>
      <c r="J44" s="110"/>
      <c r="K44" s="255"/>
      <c r="L44" s="255"/>
      <c r="M44" s="255"/>
      <c r="N44" s="200"/>
      <c r="O44" s="112"/>
      <c r="P44" s="112"/>
      <c r="Q44" s="112"/>
      <c r="R44" s="112"/>
    </row>
    <row r="45" spans="2:18" ht="14.25" customHeight="1" thickBot="1" x14ac:dyDescent="0.3">
      <c r="B45" s="96"/>
      <c r="G45" s="34"/>
      <c r="H45" s="34"/>
      <c r="I45" s="34"/>
      <c r="J45" s="110"/>
      <c r="N45" s="34"/>
      <c r="O45" s="112"/>
      <c r="P45" s="112"/>
      <c r="Q45" s="112"/>
      <c r="R45" s="112"/>
    </row>
    <row r="46" spans="2:18" ht="14.25" customHeight="1" x14ac:dyDescent="0.25">
      <c r="B46" s="371" t="s">
        <v>144</v>
      </c>
      <c r="C46" s="372"/>
      <c r="D46" s="372"/>
      <c r="E46" s="372"/>
      <c r="F46" s="372"/>
      <c r="G46" s="372"/>
      <c r="H46" s="372"/>
      <c r="I46" s="372"/>
      <c r="J46" s="372"/>
      <c r="K46" s="372"/>
      <c r="L46" s="372"/>
      <c r="M46" s="372"/>
      <c r="N46" s="373"/>
      <c r="O46" s="112"/>
      <c r="P46" s="112"/>
      <c r="Q46" s="112"/>
      <c r="R46" s="112"/>
    </row>
    <row r="47" spans="2:18" ht="14.25" customHeight="1" x14ac:dyDescent="0.25">
      <c r="B47" s="416" t="s">
        <v>387</v>
      </c>
      <c r="C47" s="417"/>
      <c r="D47" s="417"/>
      <c r="E47" s="417"/>
      <c r="F47" s="417"/>
      <c r="G47" s="417"/>
      <c r="H47" s="417"/>
      <c r="I47" s="417"/>
      <c r="J47" s="417"/>
      <c r="K47" s="417"/>
      <c r="L47" s="417"/>
      <c r="M47" s="417"/>
      <c r="N47" s="418"/>
      <c r="O47" s="112"/>
      <c r="P47" s="112"/>
      <c r="Q47" s="112"/>
      <c r="R47" s="112"/>
    </row>
    <row r="48" spans="2:18" ht="14.25" customHeight="1" x14ac:dyDescent="0.25">
      <c r="B48" s="416" t="s">
        <v>386</v>
      </c>
      <c r="C48" s="417"/>
      <c r="D48" s="417"/>
      <c r="E48" s="417"/>
      <c r="F48" s="417"/>
      <c r="G48" s="417"/>
      <c r="H48" s="417"/>
      <c r="I48" s="417"/>
      <c r="J48" s="417"/>
      <c r="K48" s="417"/>
      <c r="L48" s="417"/>
      <c r="M48" s="417"/>
      <c r="N48" s="418"/>
      <c r="O48" s="112"/>
      <c r="P48" s="112"/>
      <c r="Q48" s="112"/>
      <c r="R48" s="112"/>
    </row>
    <row r="49" spans="2:18" ht="14.25" customHeight="1" x14ac:dyDescent="0.25">
      <c r="B49" s="416" t="s">
        <v>388</v>
      </c>
      <c r="C49" s="417"/>
      <c r="D49" s="417"/>
      <c r="E49" s="417"/>
      <c r="F49" s="417"/>
      <c r="G49" s="417"/>
      <c r="H49" s="417"/>
      <c r="I49" s="417"/>
      <c r="J49" s="417"/>
      <c r="K49" s="417"/>
      <c r="L49" s="417"/>
      <c r="M49" s="417"/>
      <c r="N49" s="418"/>
      <c r="O49" s="112"/>
      <c r="P49" s="112"/>
      <c r="Q49" s="112"/>
      <c r="R49" s="112"/>
    </row>
    <row r="50" spans="2:18" ht="14.25" customHeight="1" x14ac:dyDescent="0.25">
      <c r="B50" s="416" t="s">
        <v>390</v>
      </c>
      <c r="C50" s="417"/>
      <c r="D50" s="417"/>
      <c r="E50" s="417"/>
      <c r="F50" s="417"/>
      <c r="G50" s="417"/>
      <c r="H50" s="417"/>
      <c r="I50" s="417"/>
      <c r="J50" s="417"/>
      <c r="K50" s="417"/>
      <c r="L50" s="417"/>
      <c r="M50" s="417"/>
      <c r="N50" s="418"/>
      <c r="O50" s="112"/>
      <c r="P50" s="112"/>
      <c r="Q50" s="112"/>
      <c r="R50" s="112"/>
    </row>
    <row r="51" spans="2:18" ht="14.25" customHeight="1" thickBot="1" x14ac:dyDescent="0.3">
      <c r="B51" s="426"/>
      <c r="C51" s="427"/>
      <c r="D51" s="427"/>
      <c r="E51" s="427"/>
      <c r="F51" s="427"/>
      <c r="G51" s="427"/>
      <c r="H51" s="427"/>
      <c r="I51" s="427"/>
      <c r="J51" s="427"/>
      <c r="K51" s="427"/>
      <c r="L51" s="427"/>
      <c r="M51" s="427"/>
      <c r="N51" s="428"/>
      <c r="O51" s="112"/>
      <c r="P51" s="112"/>
      <c r="Q51" s="112"/>
      <c r="R51" s="112"/>
    </row>
    <row r="52" spans="2:18" ht="14.25" customHeight="1" thickBot="1" x14ac:dyDescent="0.3">
      <c r="B52" s="98"/>
      <c r="C52" s="98"/>
      <c r="D52" s="98"/>
      <c r="E52" s="98"/>
      <c r="F52" s="98"/>
      <c r="G52" s="98"/>
      <c r="H52" s="98"/>
      <c r="I52" s="98"/>
      <c r="J52" s="111"/>
      <c r="O52" s="112"/>
      <c r="P52" s="112"/>
      <c r="Q52" s="112"/>
      <c r="R52" s="112"/>
    </row>
    <row r="53" spans="2:18" ht="14.25" customHeight="1" x14ac:dyDescent="0.25">
      <c r="B53" s="429" t="s">
        <v>145</v>
      </c>
      <c r="C53" s="430"/>
      <c r="D53" s="430"/>
      <c r="E53" s="430"/>
      <c r="F53" s="430"/>
      <c r="G53" s="431"/>
      <c r="H53" s="285"/>
      <c r="I53" s="285"/>
      <c r="J53" s="285"/>
      <c r="K53" s="285"/>
      <c r="L53" s="285"/>
      <c r="M53" s="285"/>
      <c r="N53" s="285"/>
      <c r="O53" s="112"/>
      <c r="P53" s="112"/>
      <c r="Q53" s="112"/>
      <c r="R53" s="112"/>
    </row>
    <row r="54" spans="2:18" ht="14.25" customHeight="1" x14ac:dyDescent="0.25">
      <c r="B54" s="368" t="s">
        <v>146</v>
      </c>
      <c r="C54" s="369"/>
      <c r="D54" s="369"/>
      <c r="E54" s="369"/>
      <c r="F54" s="369"/>
      <c r="G54" s="370"/>
      <c r="H54" s="285"/>
      <c r="I54" s="285"/>
      <c r="J54" s="285"/>
      <c r="K54" s="285"/>
      <c r="L54" s="285"/>
      <c r="M54" s="285"/>
      <c r="N54" s="285"/>
      <c r="O54" s="112"/>
      <c r="P54" s="112"/>
      <c r="Q54" s="112"/>
      <c r="R54" s="112"/>
    </row>
    <row r="55" spans="2:18" ht="15" customHeight="1" x14ac:dyDescent="0.25">
      <c r="B55" s="368" t="s">
        <v>147</v>
      </c>
      <c r="C55" s="369"/>
      <c r="D55" s="369"/>
      <c r="E55" s="369"/>
      <c r="F55" s="369"/>
      <c r="G55" s="370"/>
      <c r="H55" s="285"/>
      <c r="I55" s="285"/>
      <c r="J55" s="285"/>
      <c r="K55" s="285"/>
      <c r="L55" s="285"/>
      <c r="M55" s="285"/>
      <c r="N55" s="285"/>
    </row>
    <row r="56" spans="2:18" ht="14.25" customHeight="1" x14ac:dyDescent="0.25">
      <c r="B56" s="368" t="s">
        <v>148</v>
      </c>
      <c r="C56" s="369"/>
      <c r="D56" s="369"/>
      <c r="E56" s="369"/>
      <c r="F56" s="369"/>
      <c r="G56" s="370"/>
      <c r="H56" s="285"/>
      <c r="I56" s="285"/>
      <c r="J56" s="285"/>
      <c r="K56" s="285"/>
      <c r="L56" s="285"/>
      <c r="M56" s="285"/>
      <c r="N56" s="285"/>
      <c r="O56" s="112"/>
      <c r="P56" s="112"/>
      <c r="Q56" s="112"/>
      <c r="R56" s="112"/>
    </row>
    <row r="57" spans="2:18" ht="14.25" customHeight="1" x14ac:dyDescent="0.25">
      <c r="B57" s="368" t="s">
        <v>149</v>
      </c>
      <c r="C57" s="369"/>
      <c r="D57" s="369"/>
      <c r="E57" s="369"/>
      <c r="F57" s="369"/>
      <c r="G57" s="370"/>
      <c r="H57" s="285"/>
      <c r="I57" s="285"/>
      <c r="J57" s="285"/>
      <c r="K57" s="285"/>
      <c r="L57" s="285"/>
      <c r="M57" s="285"/>
      <c r="N57" s="285"/>
      <c r="O57" s="112"/>
      <c r="P57" s="112"/>
      <c r="Q57" s="112"/>
      <c r="R57" s="112"/>
    </row>
    <row r="58" spans="2:18" ht="14.25" customHeight="1" x14ac:dyDescent="0.25">
      <c r="B58" s="368" t="s">
        <v>150</v>
      </c>
      <c r="C58" s="369"/>
      <c r="D58" s="369"/>
      <c r="E58" s="369"/>
      <c r="F58" s="369"/>
      <c r="G58" s="370"/>
      <c r="H58" s="285"/>
      <c r="I58" s="285"/>
      <c r="J58" s="285"/>
      <c r="K58" s="285"/>
      <c r="L58" s="285"/>
      <c r="M58" s="285"/>
      <c r="N58" s="285"/>
      <c r="O58" s="112"/>
      <c r="P58" s="112"/>
      <c r="Q58" s="112"/>
      <c r="R58" s="112"/>
    </row>
    <row r="59" spans="2:18" ht="14.25" customHeight="1" thickBot="1" x14ac:dyDescent="0.3">
      <c r="B59" s="365" t="s">
        <v>151</v>
      </c>
      <c r="C59" s="366"/>
      <c r="D59" s="366"/>
      <c r="E59" s="366"/>
      <c r="F59" s="366"/>
      <c r="G59" s="367"/>
      <c r="H59" s="285"/>
      <c r="I59" s="285"/>
      <c r="J59" s="285"/>
      <c r="K59" s="285"/>
      <c r="L59" s="285"/>
      <c r="M59" s="285"/>
      <c r="N59" s="285"/>
      <c r="O59" s="112"/>
      <c r="P59" s="112"/>
      <c r="Q59" s="112"/>
      <c r="R59" s="112"/>
    </row>
    <row r="60" spans="2:18" ht="14.25" customHeight="1" x14ac:dyDescent="0.25">
      <c r="B60" s="285"/>
      <c r="C60" s="285"/>
      <c r="D60" s="285"/>
      <c r="E60" s="285"/>
      <c r="F60" s="285"/>
      <c r="G60" s="285"/>
      <c r="H60" s="285"/>
      <c r="I60" s="285"/>
      <c r="J60" s="285"/>
      <c r="K60" s="285"/>
      <c r="L60" s="285"/>
      <c r="M60" s="285"/>
      <c r="N60" s="285"/>
      <c r="O60" s="112"/>
      <c r="P60" s="112"/>
      <c r="Q60" s="112"/>
      <c r="R60" s="112"/>
    </row>
    <row r="61" spans="2:18" ht="14.25" customHeight="1" thickBot="1" x14ac:dyDescent="0.3">
      <c r="J61" s="110"/>
      <c r="O61" s="112"/>
      <c r="P61" s="112"/>
      <c r="Q61" s="112"/>
      <c r="R61" s="112"/>
    </row>
    <row r="62" spans="2:18" ht="14.25" customHeight="1" x14ac:dyDescent="0.25">
      <c r="B62" s="371" t="s">
        <v>152</v>
      </c>
      <c r="C62" s="372"/>
      <c r="D62" s="372"/>
      <c r="E62" s="372"/>
      <c r="F62" s="372"/>
      <c r="G62" s="372"/>
      <c r="H62" s="372"/>
      <c r="I62" s="372"/>
      <c r="J62" s="372"/>
      <c r="K62" s="372"/>
      <c r="L62" s="372"/>
      <c r="M62" s="372"/>
      <c r="N62" s="373"/>
      <c r="O62" s="112"/>
      <c r="P62" s="112"/>
      <c r="Q62" s="112"/>
      <c r="R62" s="112"/>
    </row>
    <row r="63" spans="2:18" ht="12.75" customHeight="1" x14ac:dyDescent="0.25">
      <c r="B63" s="374" t="s">
        <v>153</v>
      </c>
      <c r="C63" s="375"/>
      <c r="D63" s="375"/>
      <c r="E63" s="375"/>
      <c r="F63" s="375"/>
      <c r="G63" s="375"/>
      <c r="H63" s="375"/>
      <c r="I63" s="375"/>
      <c r="J63" s="375"/>
      <c r="K63" s="375"/>
      <c r="L63" s="375"/>
      <c r="M63" s="375"/>
      <c r="N63" s="376"/>
    </row>
    <row r="64" spans="2:18" ht="14.25" customHeight="1" x14ac:dyDescent="0.25">
      <c r="B64" s="374" t="s">
        <v>154</v>
      </c>
      <c r="C64" s="375"/>
      <c r="D64" s="375"/>
      <c r="E64" s="375"/>
      <c r="F64" s="375"/>
      <c r="G64" s="375"/>
      <c r="H64" s="375"/>
      <c r="I64" s="375"/>
      <c r="J64" s="375"/>
      <c r="K64" s="375"/>
      <c r="L64" s="375"/>
      <c r="M64" s="375"/>
      <c r="N64" s="376"/>
      <c r="O64" s="112"/>
      <c r="P64" s="112"/>
      <c r="Q64" s="112"/>
      <c r="R64" s="112"/>
    </row>
    <row r="65" spans="2:18" ht="14.25" customHeight="1" x14ac:dyDescent="0.25">
      <c r="B65" s="374" t="s">
        <v>155</v>
      </c>
      <c r="C65" s="375"/>
      <c r="D65" s="375"/>
      <c r="E65" s="375"/>
      <c r="F65" s="375"/>
      <c r="G65" s="375"/>
      <c r="H65" s="375"/>
      <c r="I65" s="375"/>
      <c r="J65" s="375"/>
      <c r="K65" s="375"/>
      <c r="L65" s="375"/>
      <c r="M65" s="375"/>
      <c r="N65" s="376"/>
      <c r="O65" s="112"/>
      <c r="P65" s="112"/>
      <c r="Q65" s="112"/>
      <c r="R65" s="112"/>
    </row>
    <row r="66" spans="2:18" ht="14.25" customHeight="1" x14ac:dyDescent="0.25">
      <c r="B66" s="374" t="s">
        <v>385</v>
      </c>
      <c r="C66" s="375"/>
      <c r="D66" s="375"/>
      <c r="E66" s="375"/>
      <c r="F66" s="375"/>
      <c r="G66" s="375"/>
      <c r="H66" s="375"/>
      <c r="I66" s="375"/>
      <c r="J66" s="375"/>
      <c r="K66" s="375"/>
      <c r="L66" s="375"/>
      <c r="M66" s="375"/>
      <c r="N66" s="376"/>
      <c r="O66" s="112"/>
      <c r="P66" s="112"/>
      <c r="Q66" s="112"/>
      <c r="R66" s="112"/>
    </row>
    <row r="67" spans="2:18" ht="14.25" customHeight="1" thickBot="1" x14ac:dyDescent="0.3">
      <c r="B67" s="377" t="s">
        <v>389</v>
      </c>
      <c r="C67" s="378"/>
      <c r="D67" s="378"/>
      <c r="E67" s="378"/>
      <c r="F67" s="378"/>
      <c r="G67" s="378"/>
      <c r="H67" s="378"/>
      <c r="I67" s="378"/>
      <c r="J67" s="378"/>
      <c r="K67" s="378"/>
      <c r="L67" s="378"/>
      <c r="M67" s="378"/>
      <c r="N67" s="379"/>
      <c r="O67" s="112"/>
      <c r="P67" s="112"/>
      <c r="Q67" s="112"/>
      <c r="R67" s="112"/>
    </row>
    <row r="68" spans="2:18" ht="14.25" customHeight="1" thickBot="1" x14ac:dyDescent="0.3">
      <c r="O68" s="112"/>
      <c r="P68" s="112"/>
      <c r="Q68" s="112"/>
      <c r="R68" s="112"/>
    </row>
    <row r="69" spans="2:18" ht="14.25" customHeight="1" x14ac:dyDescent="0.25">
      <c r="B69" s="216" t="s">
        <v>156</v>
      </c>
      <c r="C69" s="217"/>
      <c r="D69" s="217"/>
      <c r="E69" s="217"/>
      <c r="F69" s="217"/>
      <c r="G69" s="218"/>
      <c r="H69" s="112"/>
      <c r="I69" s="112"/>
      <c r="J69" s="112"/>
      <c r="K69" s="112"/>
      <c r="L69" s="112"/>
      <c r="M69" s="112"/>
      <c r="N69" s="112"/>
      <c r="O69" s="112"/>
      <c r="P69" s="112"/>
      <c r="Q69" s="112"/>
      <c r="R69" s="112"/>
    </row>
    <row r="70" spans="2:18" ht="12.75" customHeight="1" x14ac:dyDescent="0.25">
      <c r="B70" s="368" t="s">
        <v>157</v>
      </c>
      <c r="C70" s="369"/>
      <c r="D70" s="369"/>
      <c r="E70" s="369"/>
      <c r="F70" s="369"/>
      <c r="G70" s="370"/>
      <c r="H70" s="112"/>
      <c r="I70" s="112"/>
      <c r="J70" s="112"/>
      <c r="K70" s="112"/>
      <c r="L70" s="112"/>
      <c r="M70" s="112"/>
      <c r="N70" s="112"/>
      <c r="O70" s="112"/>
      <c r="P70" s="112"/>
    </row>
    <row r="71" spans="2:18" ht="14.25" customHeight="1" x14ac:dyDescent="0.25">
      <c r="B71" s="368" t="s">
        <v>158</v>
      </c>
      <c r="C71" s="369"/>
      <c r="D71" s="369"/>
      <c r="E71" s="369"/>
      <c r="F71" s="369"/>
      <c r="G71" s="370"/>
      <c r="H71" s="112"/>
      <c r="I71" s="112"/>
      <c r="J71" s="112"/>
      <c r="K71" s="112"/>
      <c r="L71" s="112"/>
      <c r="M71" s="112"/>
      <c r="N71" s="112"/>
      <c r="O71" s="112"/>
      <c r="P71" s="112"/>
      <c r="Q71" s="112"/>
      <c r="R71" s="112"/>
    </row>
    <row r="72" spans="2:18" ht="14.25" customHeight="1" x14ac:dyDescent="0.25">
      <c r="B72" s="368" t="s">
        <v>159</v>
      </c>
      <c r="C72" s="369"/>
      <c r="D72" s="369"/>
      <c r="E72" s="369"/>
      <c r="F72" s="369"/>
      <c r="G72" s="370"/>
      <c r="H72" s="112"/>
      <c r="I72" s="112"/>
      <c r="J72" s="112"/>
      <c r="K72" s="112"/>
      <c r="L72" s="112"/>
      <c r="M72" s="112"/>
      <c r="N72" s="112"/>
      <c r="O72" s="112"/>
      <c r="P72" s="112"/>
      <c r="Q72" s="112"/>
      <c r="R72" s="112"/>
    </row>
    <row r="73" spans="2:18" ht="14.25" customHeight="1" x14ac:dyDescent="0.25">
      <c r="B73" s="368"/>
      <c r="C73" s="369"/>
      <c r="D73" s="369"/>
      <c r="E73" s="369"/>
      <c r="F73" s="369"/>
      <c r="G73" s="370"/>
      <c r="H73" s="112"/>
      <c r="I73" s="112"/>
      <c r="J73" s="112"/>
      <c r="K73" s="112"/>
      <c r="L73" s="112"/>
      <c r="M73" s="112"/>
      <c r="N73" s="112"/>
      <c r="O73" s="112"/>
      <c r="P73" s="112"/>
      <c r="Q73" s="112"/>
      <c r="R73" s="112"/>
    </row>
    <row r="74" spans="2:18" ht="14.25" customHeight="1" thickBot="1" x14ac:dyDescent="0.3">
      <c r="B74" s="365"/>
      <c r="C74" s="366"/>
      <c r="D74" s="366"/>
      <c r="E74" s="366"/>
      <c r="F74" s="366"/>
      <c r="G74" s="367"/>
      <c r="H74" s="112"/>
      <c r="I74" s="112"/>
      <c r="J74" s="112"/>
      <c r="K74" s="112"/>
      <c r="L74" s="112"/>
      <c r="M74" s="112"/>
      <c r="N74" s="112"/>
      <c r="O74" s="112"/>
      <c r="P74" s="112"/>
      <c r="Q74" s="112"/>
      <c r="R74" s="112"/>
    </row>
    <row r="75" spans="2:18" ht="14.25" customHeight="1" x14ac:dyDescent="0.25">
      <c r="B75" s="152"/>
      <c r="C75" s="152"/>
      <c r="D75" s="152"/>
      <c r="E75" s="152"/>
      <c r="F75" s="152"/>
      <c r="G75" s="152"/>
      <c r="H75" s="112"/>
      <c r="I75" s="112"/>
      <c r="J75" s="112"/>
      <c r="K75" s="112"/>
      <c r="L75" s="112"/>
      <c r="M75" s="112"/>
      <c r="N75" s="112"/>
      <c r="O75" s="112"/>
      <c r="P75" s="112"/>
      <c r="Q75" s="112"/>
      <c r="R75" s="112"/>
    </row>
    <row r="76" spans="2:18" ht="14.25" customHeight="1" x14ac:dyDescent="0.25">
      <c r="B76" s="152"/>
      <c r="C76" s="152"/>
      <c r="D76" s="152"/>
      <c r="E76" s="152"/>
      <c r="F76" s="152"/>
      <c r="G76" s="152"/>
      <c r="H76" s="112"/>
      <c r="I76" s="112"/>
      <c r="J76" s="112"/>
      <c r="K76" s="112"/>
      <c r="L76" s="112"/>
      <c r="M76" s="112"/>
      <c r="N76" s="112"/>
      <c r="O76" s="112"/>
      <c r="P76" s="112"/>
      <c r="Q76" s="112"/>
      <c r="R76" s="112"/>
    </row>
    <row r="77" spans="2:18" x14ac:dyDescent="0.25">
      <c r="H77" s="112"/>
      <c r="I77" s="112"/>
      <c r="J77" s="112"/>
      <c r="K77" s="112"/>
      <c r="L77" s="112"/>
      <c r="M77" s="112"/>
      <c r="N77" s="112"/>
      <c r="O77" s="112"/>
      <c r="P77" s="112"/>
    </row>
    <row r="78" spans="2:18" x14ac:dyDescent="0.25">
      <c r="H78" s="112"/>
      <c r="I78" s="112"/>
      <c r="J78" s="112"/>
      <c r="K78" s="112"/>
      <c r="L78" s="112"/>
      <c r="M78" s="112"/>
      <c r="N78" s="112"/>
      <c r="O78" s="112"/>
      <c r="P78" s="112"/>
    </row>
    <row r="79" spans="2:18" x14ac:dyDescent="0.25">
      <c r="H79" s="112"/>
      <c r="I79" s="112"/>
      <c r="J79" s="112"/>
      <c r="K79" s="112"/>
      <c r="L79" s="112"/>
      <c r="M79" s="112"/>
      <c r="N79" s="112"/>
      <c r="O79" s="112"/>
      <c r="P79" s="112"/>
    </row>
    <row r="80" spans="2:18" x14ac:dyDescent="0.25">
      <c r="H80" s="112"/>
      <c r="I80" s="112"/>
      <c r="J80" s="112"/>
      <c r="K80" s="112"/>
      <c r="L80" s="112"/>
      <c r="M80" s="112"/>
      <c r="N80" s="112"/>
      <c r="O80" s="112"/>
      <c r="P80" s="112"/>
    </row>
    <row r="81" spans="8:16" x14ac:dyDescent="0.25">
      <c r="H81" s="112"/>
      <c r="I81" s="112"/>
      <c r="J81" s="112"/>
      <c r="K81" s="112"/>
      <c r="L81" s="112"/>
      <c r="M81" s="112"/>
      <c r="N81" s="112"/>
      <c r="O81" s="112"/>
      <c r="P81" s="112"/>
    </row>
    <row r="82" spans="8:16" x14ac:dyDescent="0.25">
      <c r="H82" s="112"/>
      <c r="I82" s="112"/>
      <c r="J82" s="112"/>
      <c r="K82" s="112"/>
      <c r="L82" s="112"/>
      <c r="M82" s="112"/>
      <c r="N82" s="112"/>
      <c r="O82" s="112"/>
      <c r="P82" s="112"/>
    </row>
    <row r="83" spans="8:16" x14ac:dyDescent="0.25">
      <c r="H83" s="112"/>
      <c r="I83" s="112"/>
      <c r="J83" s="112"/>
      <c r="K83" s="112"/>
      <c r="L83" s="112"/>
      <c r="M83" s="112"/>
      <c r="N83" s="112"/>
      <c r="O83" s="112"/>
      <c r="P83" s="112"/>
    </row>
    <row r="84" spans="8:16" x14ac:dyDescent="0.25">
      <c r="H84" s="112"/>
      <c r="I84" s="112"/>
      <c r="J84" s="112"/>
      <c r="K84" s="112"/>
      <c r="L84" s="112"/>
      <c r="M84" s="112"/>
      <c r="N84" s="112"/>
      <c r="O84" s="112"/>
      <c r="P84" s="112"/>
    </row>
    <row r="85" spans="8:16" x14ac:dyDescent="0.25">
      <c r="H85" s="112"/>
      <c r="I85" s="112"/>
      <c r="J85" s="112"/>
      <c r="K85" s="112"/>
      <c r="L85" s="112"/>
      <c r="M85" s="112"/>
      <c r="N85" s="112"/>
      <c r="O85" s="112"/>
      <c r="P85" s="112"/>
    </row>
    <row r="86" spans="8:16" x14ac:dyDescent="0.25">
      <c r="H86" s="112"/>
      <c r="I86" s="112"/>
      <c r="J86" s="112"/>
      <c r="K86" s="112"/>
      <c r="L86" s="112"/>
      <c r="M86" s="112"/>
      <c r="N86" s="112"/>
      <c r="O86" s="112"/>
      <c r="P86" s="112"/>
    </row>
    <row r="87" spans="8:16" x14ac:dyDescent="0.25">
      <c r="H87" s="112"/>
      <c r="I87" s="112"/>
      <c r="J87" s="112"/>
      <c r="K87" s="112"/>
      <c r="L87" s="112"/>
      <c r="M87" s="112"/>
      <c r="N87" s="112"/>
      <c r="O87" s="112"/>
      <c r="P87" s="112"/>
    </row>
    <row r="88" spans="8:16" x14ac:dyDescent="0.25">
      <c r="H88" s="112"/>
      <c r="I88" s="112"/>
      <c r="J88" s="112"/>
      <c r="K88" s="112"/>
      <c r="L88" s="112"/>
      <c r="M88" s="112"/>
      <c r="N88" s="112"/>
      <c r="O88" s="112"/>
      <c r="P88" s="112"/>
    </row>
    <row r="89" spans="8:16" x14ac:dyDescent="0.25">
      <c r="H89" s="112"/>
      <c r="I89" s="112"/>
      <c r="J89" s="112"/>
      <c r="K89" s="112"/>
      <c r="L89" s="112"/>
      <c r="M89" s="112"/>
      <c r="N89" s="112"/>
      <c r="O89" s="112"/>
      <c r="P89" s="112"/>
    </row>
    <row r="90" spans="8:16" x14ac:dyDescent="0.25">
      <c r="H90" s="112"/>
      <c r="I90" s="112"/>
      <c r="J90" s="112"/>
      <c r="K90" s="112"/>
      <c r="L90" s="112"/>
      <c r="M90" s="112"/>
      <c r="N90" s="112"/>
      <c r="O90" s="112"/>
      <c r="P90" s="112"/>
    </row>
    <row r="91" spans="8:16" x14ac:dyDescent="0.25">
      <c r="H91" s="112"/>
      <c r="I91" s="112"/>
      <c r="J91" s="112"/>
      <c r="K91" s="112"/>
      <c r="L91" s="112"/>
      <c r="M91" s="112"/>
      <c r="N91" s="112"/>
      <c r="O91" s="112"/>
      <c r="P91" s="112"/>
    </row>
    <row r="92" spans="8:16" x14ac:dyDescent="0.25">
      <c r="H92" s="112"/>
      <c r="I92" s="112"/>
      <c r="J92" s="112"/>
      <c r="K92" s="112"/>
      <c r="L92" s="112"/>
      <c r="M92" s="112"/>
      <c r="N92" s="112"/>
      <c r="O92" s="112"/>
      <c r="P92" s="112"/>
    </row>
    <row r="93" spans="8:16" x14ac:dyDescent="0.25">
      <c r="H93" s="112"/>
      <c r="I93" s="112"/>
      <c r="J93" s="112"/>
      <c r="K93" s="112"/>
      <c r="L93" s="112"/>
      <c r="M93" s="112"/>
      <c r="N93" s="112"/>
      <c r="O93" s="112"/>
      <c r="P93" s="112"/>
    </row>
    <row r="94" spans="8:16" x14ac:dyDescent="0.25">
      <c r="H94" s="112"/>
      <c r="I94" s="112"/>
      <c r="J94" s="112"/>
      <c r="K94" s="112"/>
      <c r="L94" s="112"/>
      <c r="M94" s="112"/>
      <c r="N94" s="112"/>
      <c r="O94" s="112"/>
      <c r="P94" s="112"/>
    </row>
    <row r="95" spans="8:16" x14ac:dyDescent="0.25">
      <c r="H95" s="112"/>
      <c r="I95" s="112"/>
      <c r="J95" s="112"/>
      <c r="K95" s="112"/>
      <c r="L95" s="112"/>
      <c r="M95" s="112"/>
      <c r="N95" s="112"/>
      <c r="O95" s="112"/>
      <c r="P95" s="112"/>
    </row>
    <row r="96" spans="8:16" x14ac:dyDescent="0.25">
      <c r="H96" s="112"/>
      <c r="I96" s="112"/>
      <c r="J96" s="112"/>
      <c r="K96" s="112"/>
      <c r="L96" s="112"/>
      <c r="M96" s="112"/>
      <c r="N96" s="112"/>
      <c r="O96" s="112"/>
    </row>
  </sheetData>
  <sheetProtection password="D688" sheet="1" insertColumns="0" insertRows="0"/>
  <mergeCells count="105">
    <mergeCell ref="B48:N48"/>
    <mergeCell ref="B49:N49"/>
    <mergeCell ref="B50:N50"/>
    <mergeCell ref="B51:N51"/>
    <mergeCell ref="B55:G55"/>
    <mergeCell ref="B56:G56"/>
    <mergeCell ref="B53:G53"/>
    <mergeCell ref="B54:G54"/>
    <mergeCell ref="K37:M37"/>
    <mergeCell ref="K38:M38"/>
    <mergeCell ref="K39:M39"/>
    <mergeCell ref="K40:M40"/>
    <mergeCell ref="K41:M41"/>
    <mergeCell ref="K34:M34"/>
    <mergeCell ref="K35:M35"/>
    <mergeCell ref="K29:M29"/>
    <mergeCell ref="K30:M30"/>
    <mergeCell ref="K31:M31"/>
    <mergeCell ref="K32:M32"/>
    <mergeCell ref="K33:M33"/>
    <mergeCell ref="P35:R35"/>
    <mergeCell ref="B47:N47"/>
    <mergeCell ref="C32:F32"/>
    <mergeCell ref="C33:F33"/>
    <mergeCell ref="C35:F36"/>
    <mergeCell ref="G35:G36"/>
    <mergeCell ref="C37:F37"/>
    <mergeCell ref="C38:F38"/>
    <mergeCell ref="C39:F39"/>
    <mergeCell ref="B35:B36"/>
    <mergeCell ref="B46:N46"/>
    <mergeCell ref="C41:F41"/>
    <mergeCell ref="C42:F42"/>
    <mergeCell ref="C43:F43"/>
    <mergeCell ref="C44:F44"/>
    <mergeCell ref="B8:B11"/>
    <mergeCell ref="G8:G11"/>
    <mergeCell ref="K6:M6"/>
    <mergeCell ref="C8:F11"/>
    <mergeCell ref="P30:Q30"/>
    <mergeCell ref="K22:M22"/>
    <mergeCell ref="K16:M16"/>
    <mergeCell ref="K24:M24"/>
    <mergeCell ref="K27:M27"/>
    <mergeCell ref="K28:M28"/>
    <mergeCell ref="K25:M25"/>
    <mergeCell ref="K14:M14"/>
    <mergeCell ref="K15:M15"/>
    <mergeCell ref="K17:M17"/>
    <mergeCell ref="K21:M21"/>
    <mergeCell ref="C27:F27"/>
    <mergeCell ref="C28:F28"/>
    <mergeCell ref="C29:F29"/>
    <mergeCell ref="G30:G31"/>
    <mergeCell ref="C30:F31"/>
    <mergeCell ref="B30:B31"/>
    <mergeCell ref="B12:B13"/>
    <mergeCell ref="B19:B20"/>
    <mergeCell ref="C16:F16"/>
    <mergeCell ref="F2:G2"/>
    <mergeCell ref="F3:G3"/>
    <mergeCell ref="K10:M10"/>
    <mergeCell ref="K12:M12"/>
    <mergeCell ref="K11:M11"/>
    <mergeCell ref="K9:M9"/>
    <mergeCell ref="K8:M8"/>
    <mergeCell ref="H2:O2"/>
    <mergeCell ref="J3:O3"/>
    <mergeCell ref="H4:O4"/>
    <mergeCell ref="K7:M7"/>
    <mergeCell ref="F4:G4"/>
    <mergeCell ref="C12:F13"/>
    <mergeCell ref="B74:G74"/>
    <mergeCell ref="B71:G71"/>
    <mergeCell ref="B73:G73"/>
    <mergeCell ref="B72:G72"/>
    <mergeCell ref="B57:G57"/>
    <mergeCell ref="B58:G58"/>
    <mergeCell ref="B59:G59"/>
    <mergeCell ref="B62:N62"/>
    <mergeCell ref="B63:N63"/>
    <mergeCell ref="B65:N65"/>
    <mergeCell ref="B66:N66"/>
    <mergeCell ref="B67:N67"/>
    <mergeCell ref="B70:G70"/>
    <mergeCell ref="B64:N64"/>
    <mergeCell ref="C15:F15"/>
    <mergeCell ref="G19:G20"/>
    <mergeCell ref="G12:G13"/>
    <mergeCell ref="K18:M18"/>
    <mergeCell ref="C26:F26"/>
    <mergeCell ref="C23:F23"/>
    <mergeCell ref="C19:F20"/>
    <mergeCell ref="B23:B25"/>
    <mergeCell ref="C14:F14"/>
    <mergeCell ref="C17:F17"/>
    <mergeCell ref="C18:F18"/>
    <mergeCell ref="B21:B22"/>
    <mergeCell ref="C21:F22"/>
    <mergeCell ref="G21:G22"/>
    <mergeCell ref="C24:F24"/>
    <mergeCell ref="C25:F25"/>
    <mergeCell ref="K13:L13"/>
    <mergeCell ref="K19:M19"/>
    <mergeCell ref="K20:M20"/>
  </mergeCells>
  <phoneticPr fontId="41" type="noConversion"/>
  <conditionalFormatting sqref="Q3">
    <cfRule type="cellIs" dxfId="45" priority="78" operator="equal">
      <formula>0</formula>
    </cfRule>
  </conditionalFormatting>
  <conditionalFormatting sqref="L26">
    <cfRule type="cellIs" dxfId="44" priority="69" operator="lessThan">
      <formula>30</formula>
    </cfRule>
  </conditionalFormatting>
  <conditionalFormatting sqref="P7">
    <cfRule type="expression" dxfId="43" priority="67">
      <formula>AND($Q$7="NO", $R$7&lt;&gt;"N/A")</formula>
    </cfRule>
  </conditionalFormatting>
  <conditionalFormatting sqref="P8">
    <cfRule type="expression" dxfId="42" priority="66">
      <formula>AND($Q$8="NO", $R$8&lt;&gt;"N/A")</formula>
    </cfRule>
  </conditionalFormatting>
  <conditionalFormatting sqref="P9">
    <cfRule type="expression" dxfId="41" priority="65">
      <formula>AND($Q$9="NO", $R$9&lt;&gt;"N/A")</formula>
    </cfRule>
  </conditionalFormatting>
  <conditionalFormatting sqref="P10">
    <cfRule type="expression" dxfId="40" priority="64">
      <formula>AND($Q$10="NO", $R$10&lt;&gt;"N/A")</formula>
    </cfRule>
  </conditionalFormatting>
  <conditionalFormatting sqref="P11">
    <cfRule type="expression" dxfId="39" priority="63">
      <formula>AND($Q$11="NO", $R$11&lt;&gt;"N/A")</formula>
    </cfRule>
  </conditionalFormatting>
  <conditionalFormatting sqref="P12">
    <cfRule type="expression" dxfId="38" priority="62">
      <formula>AND($Q$12="NO", $R$12&lt;&gt;"N/A")</formula>
    </cfRule>
  </conditionalFormatting>
  <conditionalFormatting sqref="P13">
    <cfRule type="expression" dxfId="37" priority="61">
      <formula>AND($Q$13="NO", $R$13&lt;&gt;"N/A")</formula>
    </cfRule>
  </conditionalFormatting>
  <conditionalFormatting sqref="P14">
    <cfRule type="expression" dxfId="36" priority="60">
      <formula>AND($Q$14="NO", $R$14&lt;&gt;"N/A")</formula>
    </cfRule>
  </conditionalFormatting>
  <conditionalFormatting sqref="P15">
    <cfRule type="expression" dxfId="35" priority="59">
      <formula>AND($Q$15="NO", $R$15&lt;&gt;"N/A")</formula>
    </cfRule>
  </conditionalFormatting>
  <conditionalFormatting sqref="C32:F32">
    <cfRule type="cellIs" dxfId="34" priority="42" operator="equal">
      <formula>0</formula>
    </cfRule>
  </conditionalFormatting>
  <conditionalFormatting sqref="B32">
    <cfRule type="cellIs" dxfId="33" priority="41" operator="equal">
      <formula>0</formula>
    </cfRule>
  </conditionalFormatting>
  <conditionalFormatting sqref="C33:F33">
    <cfRule type="cellIs" dxfId="32" priority="40" operator="equal">
      <formula>0</formula>
    </cfRule>
  </conditionalFormatting>
  <conditionalFormatting sqref="B33">
    <cfRule type="cellIs" dxfId="31" priority="39" operator="equal">
      <formula>0</formula>
    </cfRule>
  </conditionalFormatting>
  <conditionalFormatting sqref="C29:F29">
    <cfRule type="cellIs" dxfId="30" priority="32" operator="equal">
      <formula>0</formula>
    </cfRule>
  </conditionalFormatting>
  <conditionalFormatting sqref="B29">
    <cfRule type="cellIs" dxfId="29" priority="31" operator="equal">
      <formula>0</formula>
    </cfRule>
  </conditionalFormatting>
  <conditionalFormatting sqref="B15:G16 B29:G29 B33:F33">
    <cfRule type="expression" dxfId="28" priority="86">
      <formula>AND($Q$33="NO")</formula>
    </cfRule>
  </conditionalFormatting>
  <conditionalFormatting sqref="C25:G25">
    <cfRule type="cellIs" dxfId="27" priority="11" operator="notEqual">
      <formula>0</formula>
    </cfRule>
    <cfRule type="cellIs" dxfId="26" priority="21" operator="equal">
      <formula>0</formula>
    </cfRule>
  </conditionalFormatting>
  <conditionalFormatting sqref="C25:F25">
    <cfRule type="cellIs" dxfId="25" priority="20" operator="equal">
      <formula>0</formula>
    </cfRule>
  </conditionalFormatting>
  <conditionalFormatting sqref="B26:G26">
    <cfRule type="cellIs" dxfId="24" priority="22" operator="notEqual">
      <formula>0</formula>
    </cfRule>
    <cfRule type="cellIs" dxfId="23" priority="23" operator="equal">
      <formula>0</formula>
    </cfRule>
  </conditionalFormatting>
  <conditionalFormatting sqref="B26">
    <cfRule type="cellIs" dxfId="22" priority="16" operator="equal">
      <formula>0</formula>
    </cfRule>
  </conditionalFormatting>
  <conditionalFormatting sqref="B27:G27">
    <cfRule type="cellIs" dxfId="21" priority="12" operator="equal">
      <formula>0</formula>
    </cfRule>
    <cfRule type="cellIs" dxfId="20" priority="13" operator="notEqual">
      <formula>0</formula>
    </cfRule>
  </conditionalFormatting>
  <conditionalFormatting sqref="P18">
    <cfRule type="expression" dxfId="19" priority="87">
      <formula>AND($Q$18=0,$N$12&lt;&gt;0)</formula>
    </cfRule>
  </conditionalFormatting>
  <conditionalFormatting sqref="P19">
    <cfRule type="expression" dxfId="18" priority="88">
      <formula>AND($Q$19=0, OR($N$24&lt;&gt;0,$N$25&lt;&gt;0))</formula>
    </cfRule>
  </conditionalFormatting>
  <conditionalFormatting sqref="P23">
    <cfRule type="expression" dxfId="17" priority="90">
      <formula>AND($N$17&lt;&gt;0, $Q$23=0)</formula>
    </cfRule>
  </conditionalFormatting>
  <conditionalFormatting sqref="C41:F41">
    <cfRule type="expression" dxfId="16" priority="91">
      <formula>AND($G$41=0,$N$24&lt;&gt;0)</formula>
    </cfRule>
  </conditionalFormatting>
  <conditionalFormatting sqref="C42:F42">
    <cfRule type="expression" dxfId="15" priority="92">
      <formula>AND($G$42=0,$N$24&lt;&gt;0)</formula>
    </cfRule>
  </conditionalFormatting>
  <conditionalFormatting sqref="C43:F43">
    <cfRule type="expression" dxfId="14" priority="93">
      <formula>AND($G$43=0,$N$24&lt;&gt;0)</formula>
    </cfRule>
  </conditionalFormatting>
  <conditionalFormatting sqref="C44:F44">
    <cfRule type="expression" dxfId="13" priority="94">
      <formula>AND($G$44=0,$N$24&lt;&gt;0)</formula>
    </cfRule>
  </conditionalFormatting>
  <conditionalFormatting sqref="F2:G3">
    <cfRule type="expression" dxfId="12" priority="95">
      <formula>AND($N$17&lt;&gt;0,ISBLANK($H$2))</formula>
    </cfRule>
  </conditionalFormatting>
  <conditionalFormatting sqref="F4:G4">
    <cfRule type="expression" dxfId="11" priority="97">
      <formula>AND($N$17&lt;&gt;0,ISBLANK($H$4))</formula>
    </cfRule>
  </conditionalFormatting>
  <conditionalFormatting sqref="K18:M22">
    <cfRule type="expression" dxfId="10" priority="10">
      <formula>AND($Q$18=0,$N$12&lt;&gt;0)</formula>
    </cfRule>
  </conditionalFormatting>
  <conditionalFormatting sqref="P31">
    <cfRule type="expression" dxfId="9" priority="9">
      <formula>$Q$31="NO"</formula>
    </cfRule>
  </conditionalFormatting>
  <conditionalFormatting sqref="P32">
    <cfRule type="expression" dxfId="8" priority="8">
      <formula>$Q$32="NO"</formula>
    </cfRule>
  </conditionalFormatting>
  <conditionalFormatting sqref="P33">
    <cfRule type="expression" dxfId="7" priority="7">
      <formula>$Q$33="NO"</formula>
    </cfRule>
  </conditionalFormatting>
  <conditionalFormatting sqref="P37">
    <cfRule type="expression" dxfId="6" priority="2">
      <formula>VALUE(SUBSTITUTE($R$37,"%",""))&lt;21</formula>
    </cfRule>
  </conditionalFormatting>
  <conditionalFormatting sqref="P38">
    <cfRule type="expression" dxfId="5" priority="1">
      <formula>VALUE(SUBSTITUTE($R$38,"%",""))&lt;6</formula>
    </cfRule>
  </conditionalFormatting>
  <dataValidations count="1">
    <dataValidation type="list" allowBlank="1" showInputMessage="1" showErrorMessage="1" sqref="Q7:Q15 M13" xr:uid="{8AC792D5-EE92-4F71-B062-E7CA48D625ED}">
      <formula1>AUTO</formula1>
    </dataValidation>
  </dataValidations>
  <pageMargins left="0.7" right="0.7" top="0.75" bottom="0.75" header="0.3" footer="0.3"/>
  <pageSetup orientation="portrait" r:id="rId1"/>
  <ignoredErrors>
    <ignoredError sqref="R16 L26 T11:T15 T7:T10 G23:G26 B27:B29 B26:C26 C27 G27 C25 G37:G39 G35 G41:G44 Q36:Q38 R36:R38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FEE1B32-6CAD-4EBD-8FE7-EA51E4108565}">
          <x14:formula1>
            <xm:f>'ESTANDAR HORAS'!$T$7:$T$16</xm:f>
          </x14:formula1>
          <xm:sqref>B70:B75 C75:E75 F71:N71 F74:N75</xm:sqref>
        </x14:dataValidation>
        <x14:dataValidation type="list" allowBlank="1" showInputMessage="1" showErrorMessage="1" xr:uid="{0F2C87C9-9647-42CF-A1E9-8AA196EC74F7}">
          <x14:formula1>
            <xm:f>'ESTANDAR HORAS'!$O$26:$O$29</xm:f>
          </x14:formula1>
          <xm:sqref>R7:R15</xm:sqref>
        </x14:dataValidation>
        <x14:dataValidation type="list" allowBlank="1" showInputMessage="1" showErrorMessage="1" xr:uid="{1E811516-8E03-4959-A402-8A86762AFAD0}">
          <x14:formula1>
            <xm:f>'ESTANDAR HORAS'!$A$33:$A$34</xm:f>
          </x14:formula1>
          <xm:sqref>T18:T19</xm:sqref>
        </x14:dataValidation>
        <x14:dataValidation type="list" allowBlank="1" showInputMessage="1" showErrorMessage="1" xr:uid="{74A0CBAB-E21E-4B72-82EA-0DF373BAE93A}">
          <x14:formula1>
            <xm:f>'ESTANDAR HORAS'!$O$2:$O$3</xm:f>
          </x14:formula1>
          <xm:sqref>Q31:Q33</xm:sqref>
        </x14:dataValidation>
        <x14:dataValidation type="list" allowBlank="1" showInputMessage="1" showErrorMessage="1" xr:uid="{7A80BAD0-EFCB-47CB-ADCC-C600A09DD725}">
          <x14:formula1>
            <xm:f>'ESTANDAR HORAS'!$U$7:$U$12</xm:f>
          </x14:formula1>
          <xm:sqref>B54:G54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3ADCB-326E-4015-9083-7C563C6FB840}">
  <sheetPr codeName="Hoja5"/>
  <dimension ref="A1:K433"/>
  <sheetViews>
    <sheetView tabSelected="1" topLeftCell="A296" zoomScale="115" zoomScaleNormal="115" workbookViewId="0">
      <selection activeCell="C302" sqref="C302"/>
    </sheetView>
  </sheetViews>
  <sheetFormatPr baseColWidth="10" defaultColWidth="11.44140625" defaultRowHeight="13.2" x14ac:dyDescent="0.25"/>
  <cols>
    <col min="1" max="1" width="3" style="114" customWidth="1"/>
    <col min="2" max="2" width="14.6640625" style="338" customWidth="1"/>
    <col min="3" max="3" width="92.6640625" style="2" customWidth="1"/>
    <col min="4" max="4" width="13.109375" style="158" customWidth="1"/>
    <col min="5" max="5" width="22" style="158" customWidth="1"/>
    <col min="6" max="6" width="10.109375" style="158" customWidth="1"/>
    <col min="7" max="7" width="7.6640625" style="158" customWidth="1"/>
    <col min="8" max="8" width="17.109375" style="158" customWidth="1"/>
    <col min="9" max="9" width="12.33203125" style="114" customWidth="1"/>
    <col min="10" max="11" width="11.44140625" style="114"/>
    <col min="12" max="14" width="11.44140625" style="1"/>
    <col min="15" max="15" width="13.33203125" style="1" customWidth="1"/>
    <col min="16" max="16384" width="11.44140625" style="1"/>
  </cols>
  <sheetData>
    <row r="1" spans="1:11" x14ac:dyDescent="0.25">
      <c r="B1" s="114"/>
    </row>
    <row r="2" spans="1:11" x14ac:dyDescent="0.25">
      <c r="B2" s="114"/>
    </row>
    <row r="3" spans="1:11" x14ac:dyDescent="0.25">
      <c r="B3" s="114"/>
    </row>
    <row r="4" spans="1:11" x14ac:dyDescent="0.25">
      <c r="B4" s="114"/>
    </row>
    <row r="5" spans="1:11" x14ac:dyDescent="0.25">
      <c r="B5" s="326" t="s">
        <v>391</v>
      </c>
      <c r="C5" s="327"/>
      <c r="D5" s="327"/>
      <c r="E5" s="327"/>
      <c r="F5" s="327"/>
      <c r="G5" s="327"/>
      <c r="H5" s="328"/>
    </row>
    <row r="6" spans="1:11" ht="39.6" x14ac:dyDescent="0.25">
      <c r="B6" s="329" t="s">
        <v>65</v>
      </c>
      <c r="C6" s="268" t="s">
        <v>160</v>
      </c>
      <c r="D6" s="269" t="s">
        <v>161</v>
      </c>
      <c r="E6" s="269" t="s">
        <v>162</v>
      </c>
      <c r="F6" s="269" t="s">
        <v>163</v>
      </c>
      <c r="G6" s="269" t="s">
        <v>164</v>
      </c>
      <c r="H6" s="269" t="s">
        <v>165</v>
      </c>
    </row>
    <row r="7" spans="1:11" ht="26.4" x14ac:dyDescent="0.25">
      <c r="B7" s="337" t="s">
        <v>392</v>
      </c>
      <c r="C7" s="340" t="s">
        <v>393</v>
      </c>
      <c r="D7" s="158" t="s">
        <v>166</v>
      </c>
      <c r="E7" s="330" t="s">
        <v>166</v>
      </c>
      <c r="F7" s="330" t="s">
        <v>167</v>
      </c>
      <c r="G7" s="330" t="s">
        <v>176</v>
      </c>
      <c r="H7" s="330" t="s">
        <v>63</v>
      </c>
      <c r="I7" s="114" t="s">
        <v>639</v>
      </c>
    </row>
    <row r="8" spans="1:11" ht="26.4" x14ac:dyDescent="0.25">
      <c r="A8" s="1"/>
      <c r="B8" s="337" t="s">
        <v>394</v>
      </c>
      <c r="C8" s="340" t="s">
        <v>395</v>
      </c>
      <c r="D8" s="158" t="s">
        <v>166</v>
      </c>
      <c r="E8" s="330" t="s">
        <v>166</v>
      </c>
      <c r="F8" s="330" t="s">
        <v>396</v>
      </c>
      <c r="G8" s="330" t="s">
        <v>176</v>
      </c>
      <c r="H8" s="330" t="s">
        <v>63</v>
      </c>
      <c r="I8" s="114" t="s">
        <v>639</v>
      </c>
      <c r="J8" s="1"/>
      <c r="K8" s="1"/>
    </row>
    <row r="9" spans="1:11" ht="26.4" x14ac:dyDescent="0.25">
      <c r="A9" s="1"/>
      <c r="B9" s="337" t="s">
        <v>397</v>
      </c>
      <c r="C9" s="340" t="s">
        <v>398</v>
      </c>
      <c r="D9" s="158" t="s">
        <v>166</v>
      </c>
      <c r="E9" s="330" t="s">
        <v>166</v>
      </c>
      <c r="F9" s="330" t="s">
        <v>396</v>
      </c>
      <c r="G9" s="330" t="s">
        <v>176</v>
      </c>
      <c r="H9" s="330" t="s">
        <v>63</v>
      </c>
      <c r="I9" s="114" t="s">
        <v>639</v>
      </c>
      <c r="J9" s="1"/>
      <c r="K9" s="1"/>
    </row>
    <row r="10" spans="1:11" ht="26.4" x14ac:dyDescent="0.25">
      <c r="A10" s="1"/>
      <c r="B10" s="337" t="s">
        <v>399</v>
      </c>
      <c r="C10" s="340" t="s">
        <v>400</v>
      </c>
      <c r="D10" s="158" t="s">
        <v>166</v>
      </c>
      <c r="E10" s="330" t="s">
        <v>166</v>
      </c>
      <c r="F10" s="330" t="s">
        <v>396</v>
      </c>
      <c r="G10" s="330" t="s">
        <v>176</v>
      </c>
      <c r="H10" s="330" t="s">
        <v>63</v>
      </c>
      <c r="I10" s="114" t="s">
        <v>639</v>
      </c>
      <c r="J10" s="1"/>
      <c r="K10" s="1"/>
    </row>
    <row r="11" spans="1:11" ht="14.4" customHeight="1" x14ac:dyDescent="0.25">
      <c r="A11" s="1"/>
      <c r="B11" s="337" t="s">
        <v>401</v>
      </c>
      <c r="C11" s="340" t="s">
        <v>405</v>
      </c>
      <c r="D11" s="158" t="s">
        <v>166</v>
      </c>
      <c r="E11" s="330" t="s">
        <v>166</v>
      </c>
      <c r="F11" s="330" t="s">
        <v>396</v>
      </c>
      <c r="G11" s="330" t="s">
        <v>176</v>
      </c>
      <c r="H11" s="330" t="s">
        <v>63</v>
      </c>
      <c r="I11" s="114" t="s">
        <v>639</v>
      </c>
      <c r="J11" s="1"/>
      <c r="K11" s="1"/>
    </row>
    <row r="12" spans="1:11" ht="14.4" customHeight="1" x14ac:dyDescent="0.25">
      <c r="A12" s="1"/>
      <c r="B12" s="337" t="s">
        <v>402</v>
      </c>
      <c r="C12" s="341" t="s">
        <v>640</v>
      </c>
      <c r="D12" s="158" t="s">
        <v>166</v>
      </c>
      <c r="E12" s="330" t="s">
        <v>166</v>
      </c>
      <c r="F12" s="330" t="s">
        <v>396</v>
      </c>
      <c r="G12" s="330" t="s">
        <v>176</v>
      </c>
      <c r="H12" s="330" t="s">
        <v>63</v>
      </c>
      <c r="I12" s="114" t="s">
        <v>639</v>
      </c>
      <c r="J12" s="1"/>
      <c r="K12" s="1"/>
    </row>
    <row r="13" spans="1:11" ht="14.4" customHeight="1" x14ac:dyDescent="0.25">
      <c r="A13" s="1"/>
      <c r="B13" s="326" t="s">
        <v>407</v>
      </c>
      <c r="C13" s="331" t="s">
        <v>408</v>
      </c>
      <c r="D13" s="331" t="s">
        <v>409</v>
      </c>
      <c r="E13" s="331" t="s">
        <v>409</v>
      </c>
      <c r="F13" s="331" t="s">
        <v>409</v>
      </c>
      <c r="G13" s="331" t="s">
        <v>409</v>
      </c>
      <c r="H13" s="332" t="s">
        <v>409</v>
      </c>
      <c r="I13" s="1"/>
      <c r="J13" s="1"/>
      <c r="K13" s="1"/>
    </row>
    <row r="14" spans="1:11" ht="14.4" customHeight="1" x14ac:dyDescent="0.25">
      <c r="A14" s="1"/>
      <c r="B14" s="329" t="s">
        <v>65</v>
      </c>
      <c r="C14" s="333" t="s">
        <v>160</v>
      </c>
      <c r="D14" s="334" t="s">
        <v>161</v>
      </c>
      <c r="E14" s="334" t="s">
        <v>162</v>
      </c>
      <c r="F14" s="334" t="s">
        <v>163</v>
      </c>
      <c r="G14" s="334" t="s">
        <v>164</v>
      </c>
      <c r="H14" s="334" t="s">
        <v>165</v>
      </c>
      <c r="I14" s="1"/>
      <c r="J14" s="1"/>
      <c r="K14" s="1"/>
    </row>
    <row r="15" spans="1:11" ht="14.4" customHeight="1" x14ac:dyDescent="0.3">
      <c r="A15" s="1"/>
      <c r="B15" s="344" t="s">
        <v>403</v>
      </c>
      <c r="C15" s="543" t="s">
        <v>880</v>
      </c>
      <c r="D15" s="345" t="s">
        <v>166</v>
      </c>
      <c r="E15" s="346" t="s">
        <v>166</v>
      </c>
      <c r="F15" s="346" t="s">
        <v>167</v>
      </c>
      <c r="G15" s="346" t="s">
        <v>176</v>
      </c>
      <c r="H15" s="346" t="s">
        <v>63</v>
      </c>
      <c r="I15" s="1"/>
      <c r="J15" s="1"/>
      <c r="K15" s="1"/>
    </row>
    <row r="16" spans="1:11" ht="14.4" customHeight="1" x14ac:dyDescent="0.3">
      <c r="A16" s="1"/>
      <c r="B16" s="344" t="s">
        <v>404</v>
      </c>
      <c r="C16" s="543" t="s">
        <v>881</v>
      </c>
      <c r="D16" s="345" t="s">
        <v>166</v>
      </c>
      <c r="E16" s="346" t="s">
        <v>166</v>
      </c>
      <c r="F16" s="346" t="s">
        <v>167</v>
      </c>
      <c r="G16" s="346" t="s">
        <v>176</v>
      </c>
      <c r="H16" s="346" t="s">
        <v>63</v>
      </c>
      <c r="I16" s="1"/>
      <c r="J16" s="1"/>
      <c r="K16" s="1"/>
    </row>
    <row r="17" spans="2:8" s="1" customFormat="1" ht="14.4" customHeight="1" x14ac:dyDescent="0.3">
      <c r="B17" s="344" t="s">
        <v>406</v>
      </c>
      <c r="C17" s="543" t="s">
        <v>882</v>
      </c>
      <c r="D17" s="345" t="s">
        <v>166</v>
      </c>
      <c r="E17" s="346" t="s">
        <v>166</v>
      </c>
      <c r="F17" s="346" t="s">
        <v>167</v>
      </c>
      <c r="G17" s="346" t="s">
        <v>176</v>
      </c>
      <c r="H17" s="346" t="s">
        <v>63</v>
      </c>
    </row>
    <row r="18" spans="2:8" s="1" customFormat="1" ht="14.4" customHeight="1" x14ac:dyDescent="0.3">
      <c r="B18" s="344" t="s">
        <v>644</v>
      </c>
      <c r="C18" s="543" t="s">
        <v>883</v>
      </c>
      <c r="D18" s="345" t="s">
        <v>166</v>
      </c>
      <c r="E18" s="346" t="s">
        <v>166</v>
      </c>
      <c r="F18" s="346" t="s">
        <v>167</v>
      </c>
      <c r="G18" s="346" t="s">
        <v>176</v>
      </c>
      <c r="H18" s="346" t="s">
        <v>63</v>
      </c>
    </row>
    <row r="19" spans="2:8" s="1" customFormat="1" ht="14.4" customHeight="1" x14ac:dyDescent="0.3">
      <c r="B19" s="344" t="s">
        <v>645</v>
      </c>
      <c r="C19" s="543" t="s">
        <v>884</v>
      </c>
      <c r="D19" s="345" t="s">
        <v>166</v>
      </c>
      <c r="E19" s="346" t="s">
        <v>166</v>
      </c>
      <c r="F19" s="346" t="s">
        <v>167</v>
      </c>
      <c r="G19" s="346" t="s">
        <v>176</v>
      </c>
      <c r="H19" s="346" t="s">
        <v>63</v>
      </c>
    </row>
    <row r="20" spans="2:8" s="1" customFormat="1" ht="14.4" customHeight="1" x14ac:dyDescent="0.3">
      <c r="B20" s="344" t="s">
        <v>646</v>
      </c>
      <c r="C20" s="543" t="s">
        <v>885</v>
      </c>
      <c r="D20" s="345" t="s">
        <v>166</v>
      </c>
      <c r="E20" s="346" t="s">
        <v>166</v>
      </c>
      <c r="F20" s="346" t="s">
        <v>167</v>
      </c>
      <c r="G20" s="346" t="s">
        <v>176</v>
      </c>
      <c r="H20" s="346" t="s">
        <v>63</v>
      </c>
    </row>
    <row r="21" spans="2:8" s="1" customFormat="1" ht="14.4" customHeight="1" x14ac:dyDescent="0.3">
      <c r="B21" s="344" t="s">
        <v>412</v>
      </c>
      <c r="C21" s="543" t="s">
        <v>886</v>
      </c>
      <c r="D21" s="345" t="s">
        <v>166</v>
      </c>
      <c r="E21" s="346" t="s">
        <v>166</v>
      </c>
      <c r="F21" s="346" t="s">
        <v>167</v>
      </c>
      <c r="G21" s="346" t="s">
        <v>176</v>
      </c>
      <c r="H21" s="346" t="s">
        <v>63</v>
      </c>
    </row>
    <row r="22" spans="2:8" s="1" customFormat="1" ht="14.4" customHeight="1" x14ac:dyDescent="0.3">
      <c r="B22" s="344" t="s">
        <v>414</v>
      </c>
      <c r="C22" s="543" t="s">
        <v>887</v>
      </c>
      <c r="D22" s="345" t="s">
        <v>166</v>
      </c>
      <c r="E22" s="346" t="s">
        <v>166</v>
      </c>
      <c r="F22" s="346" t="s">
        <v>167</v>
      </c>
      <c r="G22" s="346" t="s">
        <v>176</v>
      </c>
      <c r="H22" s="346" t="s">
        <v>63</v>
      </c>
    </row>
    <row r="23" spans="2:8" s="1" customFormat="1" ht="14.4" customHeight="1" x14ac:dyDescent="0.3">
      <c r="B23" s="344" t="s">
        <v>416</v>
      </c>
      <c r="C23" s="543" t="s">
        <v>888</v>
      </c>
      <c r="D23" s="345" t="s">
        <v>166</v>
      </c>
      <c r="E23" s="346" t="s">
        <v>166</v>
      </c>
      <c r="F23" s="346" t="s">
        <v>167</v>
      </c>
      <c r="G23" s="346" t="s">
        <v>176</v>
      </c>
      <c r="H23" s="346" t="s">
        <v>63</v>
      </c>
    </row>
    <row r="24" spans="2:8" s="1" customFormat="1" ht="14.4" customHeight="1" x14ac:dyDescent="0.3">
      <c r="B24" s="344" t="s">
        <v>418</v>
      </c>
      <c r="C24" s="543" t="s">
        <v>889</v>
      </c>
      <c r="D24" s="345" t="s">
        <v>166</v>
      </c>
      <c r="E24" s="346" t="s">
        <v>166</v>
      </c>
      <c r="F24" s="346" t="s">
        <v>167</v>
      </c>
      <c r="G24" s="346" t="s">
        <v>176</v>
      </c>
      <c r="H24" s="346" t="s">
        <v>63</v>
      </c>
    </row>
    <row r="25" spans="2:8" s="1" customFormat="1" ht="14.4" customHeight="1" x14ac:dyDescent="0.3">
      <c r="B25" s="344" t="s">
        <v>419</v>
      </c>
      <c r="C25" s="543" t="s">
        <v>890</v>
      </c>
      <c r="D25" s="345" t="s">
        <v>166</v>
      </c>
      <c r="E25" s="346" t="s">
        <v>166</v>
      </c>
      <c r="F25" s="346" t="s">
        <v>167</v>
      </c>
      <c r="G25" s="346" t="s">
        <v>176</v>
      </c>
      <c r="H25" s="346" t="s">
        <v>63</v>
      </c>
    </row>
    <row r="26" spans="2:8" s="1" customFormat="1" ht="14.4" customHeight="1" x14ac:dyDescent="0.3">
      <c r="B26" s="344" t="s">
        <v>421</v>
      </c>
      <c r="C26" s="543" t="s">
        <v>891</v>
      </c>
      <c r="D26" s="345" t="s">
        <v>166</v>
      </c>
      <c r="E26" s="346" t="s">
        <v>166</v>
      </c>
      <c r="F26" s="346" t="s">
        <v>167</v>
      </c>
      <c r="G26" s="346" t="s">
        <v>176</v>
      </c>
      <c r="H26" s="346" t="s">
        <v>63</v>
      </c>
    </row>
    <row r="27" spans="2:8" s="1" customFormat="1" ht="14.4" customHeight="1" x14ac:dyDescent="0.3">
      <c r="B27" s="344" t="s">
        <v>422</v>
      </c>
      <c r="C27" s="543" t="s">
        <v>892</v>
      </c>
      <c r="D27" s="345" t="s">
        <v>166</v>
      </c>
      <c r="E27" s="346" t="s">
        <v>166</v>
      </c>
      <c r="F27" s="346" t="s">
        <v>167</v>
      </c>
      <c r="G27" s="346" t="s">
        <v>176</v>
      </c>
      <c r="H27" s="346" t="s">
        <v>63</v>
      </c>
    </row>
    <row r="28" spans="2:8" s="1" customFormat="1" ht="14.4" customHeight="1" x14ac:dyDescent="0.3">
      <c r="B28" s="344" t="s">
        <v>423</v>
      </c>
      <c r="C28" s="543" t="s">
        <v>893</v>
      </c>
      <c r="D28" s="345" t="s">
        <v>166</v>
      </c>
      <c r="E28" s="346" t="s">
        <v>166</v>
      </c>
      <c r="F28" s="346" t="s">
        <v>167</v>
      </c>
      <c r="G28" s="346" t="s">
        <v>176</v>
      </c>
      <c r="H28" s="346" t="s">
        <v>63</v>
      </c>
    </row>
    <row r="29" spans="2:8" s="1" customFormat="1" ht="14.4" customHeight="1" x14ac:dyDescent="0.3">
      <c r="B29" s="344" t="s">
        <v>424</v>
      </c>
      <c r="C29" s="543" t="s">
        <v>894</v>
      </c>
      <c r="D29" s="345" t="s">
        <v>166</v>
      </c>
      <c r="E29" s="346" t="s">
        <v>166</v>
      </c>
      <c r="F29" s="346" t="s">
        <v>167</v>
      </c>
      <c r="G29" s="346" t="s">
        <v>176</v>
      </c>
      <c r="H29" s="346" t="s">
        <v>63</v>
      </c>
    </row>
    <row r="30" spans="2:8" s="1" customFormat="1" ht="14.4" customHeight="1" x14ac:dyDescent="0.3">
      <c r="B30" s="344" t="s">
        <v>426</v>
      </c>
      <c r="C30" s="543" t="s">
        <v>895</v>
      </c>
      <c r="D30" s="345" t="s">
        <v>166</v>
      </c>
      <c r="E30" s="346" t="s">
        <v>166</v>
      </c>
      <c r="F30" s="346" t="s">
        <v>167</v>
      </c>
      <c r="G30" s="346" t="s">
        <v>176</v>
      </c>
      <c r="H30" s="346" t="s">
        <v>63</v>
      </c>
    </row>
    <row r="31" spans="2:8" s="1" customFormat="1" ht="14.4" customHeight="1" x14ac:dyDescent="0.3">
      <c r="B31" s="344" t="s">
        <v>428</v>
      </c>
      <c r="C31" s="543" t="s">
        <v>896</v>
      </c>
      <c r="D31" s="345" t="s">
        <v>166</v>
      </c>
      <c r="E31" s="346" t="s">
        <v>166</v>
      </c>
      <c r="F31" s="346" t="s">
        <v>167</v>
      </c>
      <c r="G31" s="346" t="s">
        <v>176</v>
      </c>
      <c r="H31" s="346" t="s">
        <v>63</v>
      </c>
    </row>
    <row r="32" spans="2:8" s="1" customFormat="1" ht="14.4" customHeight="1" x14ac:dyDescent="0.3">
      <c r="B32" s="344" t="s">
        <v>429</v>
      </c>
      <c r="C32" s="543" t="s">
        <v>897</v>
      </c>
      <c r="D32" s="345" t="s">
        <v>166</v>
      </c>
      <c r="E32" s="346" t="s">
        <v>166</v>
      </c>
      <c r="F32" s="346" t="s">
        <v>167</v>
      </c>
      <c r="G32" s="346" t="s">
        <v>176</v>
      </c>
      <c r="H32" s="346" t="s">
        <v>63</v>
      </c>
    </row>
    <row r="33" spans="2:8" s="1" customFormat="1" ht="14.4" customHeight="1" x14ac:dyDescent="0.3">
      <c r="B33" s="344" t="s">
        <v>431</v>
      </c>
      <c r="C33" s="543" t="s">
        <v>898</v>
      </c>
      <c r="D33" s="345" t="s">
        <v>166</v>
      </c>
      <c r="E33" s="346" t="s">
        <v>166</v>
      </c>
      <c r="F33" s="346" t="s">
        <v>167</v>
      </c>
      <c r="G33" s="346" t="s">
        <v>176</v>
      </c>
      <c r="H33" s="346" t="s">
        <v>63</v>
      </c>
    </row>
    <row r="34" spans="2:8" s="1" customFormat="1" ht="14.4" customHeight="1" x14ac:dyDescent="0.3">
      <c r="B34" s="344" t="s">
        <v>647</v>
      </c>
      <c r="C34" s="543" t="s">
        <v>899</v>
      </c>
      <c r="D34" s="345" t="s">
        <v>166</v>
      </c>
      <c r="E34" s="346" t="s">
        <v>166</v>
      </c>
      <c r="F34" s="346" t="s">
        <v>167</v>
      </c>
      <c r="G34" s="346" t="s">
        <v>176</v>
      </c>
      <c r="H34" s="346" t="s">
        <v>63</v>
      </c>
    </row>
    <row r="35" spans="2:8" s="1" customFormat="1" ht="14.4" customHeight="1" x14ac:dyDescent="0.25">
      <c r="B35" s="344" t="s">
        <v>648</v>
      </c>
      <c r="C35" s="544" t="s">
        <v>900</v>
      </c>
      <c r="D35" s="345" t="s">
        <v>166</v>
      </c>
      <c r="E35" s="346" t="s">
        <v>166</v>
      </c>
      <c r="F35" s="346" t="s">
        <v>167</v>
      </c>
      <c r="G35" s="346" t="s">
        <v>176</v>
      </c>
      <c r="H35" s="346" t="s">
        <v>63</v>
      </c>
    </row>
    <row r="36" spans="2:8" s="1" customFormat="1" ht="14.4" customHeight="1" x14ac:dyDescent="0.25">
      <c r="B36" s="344" t="s">
        <v>649</v>
      </c>
      <c r="C36" s="545" t="s">
        <v>901</v>
      </c>
      <c r="D36" s="345" t="s">
        <v>166</v>
      </c>
      <c r="E36" s="346" t="s">
        <v>166</v>
      </c>
      <c r="F36" s="346" t="s">
        <v>167</v>
      </c>
      <c r="G36" s="346" t="s">
        <v>176</v>
      </c>
      <c r="H36" s="346" t="s">
        <v>63</v>
      </c>
    </row>
    <row r="37" spans="2:8" s="1" customFormat="1" ht="14.4" customHeight="1" x14ac:dyDescent="0.25">
      <c r="B37" s="344" t="s">
        <v>650</v>
      </c>
      <c r="C37" s="545" t="s">
        <v>902</v>
      </c>
      <c r="D37" s="345" t="s">
        <v>166</v>
      </c>
      <c r="E37" s="346" t="s">
        <v>166</v>
      </c>
      <c r="F37" s="346" t="s">
        <v>167</v>
      </c>
      <c r="G37" s="346" t="s">
        <v>176</v>
      </c>
      <c r="H37" s="346" t="s">
        <v>63</v>
      </c>
    </row>
    <row r="38" spans="2:8" s="1" customFormat="1" ht="14.4" customHeight="1" x14ac:dyDescent="0.25">
      <c r="B38" s="344" t="s">
        <v>437</v>
      </c>
      <c r="C38" s="545" t="s">
        <v>903</v>
      </c>
      <c r="D38" s="345" t="s">
        <v>166</v>
      </c>
      <c r="E38" s="346" t="s">
        <v>166</v>
      </c>
      <c r="F38" s="346" t="s">
        <v>167</v>
      </c>
      <c r="G38" s="346" t="s">
        <v>176</v>
      </c>
      <c r="H38" s="346" t="s">
        <v>63</v>
      </c>
    </row>
    <row r="39" spans="2:8" s="1" customFormat="1" ht="14.4" customHeight="1" x14ac:dyDescent="0.25">
      <c r="B39" s="344" t="s">
        <v>439</v>
      </c>
      <c r="C39" s="545" t="s">
        <v>904</v>
      </c>
      <c r="D39" s="345" t="s">
        <v>166</v>
      </c>
      <c r="E39" s="346" t="s">
        <v>166</v>
      </c>
      <c r="F39" s="346" t="s">
        <v>167</v>
      </c>
      <c r="G39" s="346" t="s">
        <v>176</v>
      </c>
      <c r="H39" s="346" t="s">
        <v>63</v>
      </c>
    </row>
    <row r="40" spans="2:8" s="1" customFormat="1" ht="14.4" customHeight="1" x14ac:dyDescent="0.25">
      <c r="B40" s="344" t="s">
        <v>441</v>
      </c>
      <c r="C40" s="545" t="s">
        <v>905</v>
      </c>
      <c r="D40" s="345" t="s">
        <v>166</v>
      </c>
      <c r="E40" s="346" t="s">
        <v>166</v>
      </c>
      <c r="F40" s="346" t="s">
        <v>167</v>
      </c>
      <c r="G40" s="346" t="s">
        <v>176</v>
      </c>
      <c r="H40" s="346" t="s">
        <v>63</v>
      </c>
    </row>
    <row r="41" spans="2:8" s="1" customFormat="1" ht="14.4" customHeight="1" x14ac:dyDescent="0.25">
      <c r="B41" s="344" t="s">
        <v>443</v>
      </c>
      <c r="C41" s="545" t="s">
        <v>906</v>
      </c>
      <c r="D41" s="345" t="s">
        <v>166</v>
      </c>
      <c r="E41" s="346" t="s">
        <v>166</v>
      </c>
      <c r="F41" s="346" t="s">
        <v>167</v>
      </c>
      <c r="G41" s="346" t="s">
        <v>176</v>
      </c>
      <c r="H41" s="346" t="s">
        <v>63</v>
      </c>
    </row>
    <row r="42" spans="2:8" s="1" customFormat="1" ht="14.4" customHeight="1" x14ac:dyDescent="0.25">
      <c r="B42" s="344" t="s">
        <v>444</v>
      </c>
      <c r="C42" s="545" t="s">
        <v>907</v>
      </c>
      <c r="D42" s="345" t="s">
        <v>166</v>
      </c>
      <c r="E42" s="346" t="s">
        <v>166</v>
      </c>
      <c r="F42" s="346" t="s">
        <v>167</v>
      </c>
      <c r="G42" s="346" t="s">
        <v>176</v>
      </c>
      <c r="H42" s="346" t="s">
        <v>63</v>
      </c>
    </row>
    <row r="43" spans="2:8" s="1" customFormat="1" ht="14.4" customHeight="1" x14ac:dyDescent="0.25">
      <c r="B43" s="344" t="s">
        <v>445</v>
      </c>
      <c r="C43" s="545" t="s">
        <v>908</v>
      </c>
      <c r="D43" s="345" t="s">
        <v>166</v>
      </c>
      <c r="E43" s="346" t="s">
        <v>166</v>
      </c>
      <c r="F43" s="346" t="s">
        <v>167</v>
      </c>
      <c r="G43" s="346" t="s">
        <v>176</v>
      </c>
      <c r="H43" s="346" t="s">
        <v>63</v>
      </c>
    </row>
    <row r="44" spans="2:8" s="1" customFormat="1" ht="14.4" customHeight="1" x14ac:dyDescent="0.25">
      <c r="B44" s="344" t="s">
        <v>446</v>
      </c>
      <c r="C44" s="545" t="s">
        <v>909</v>
      </c>
      <c r="D44" s="345" t="s">
        <v>166</v>
      </c>
      <c r="E44" s="346" t="s">
        <v>166</v>
      </c>
      <c r="F44" s="346" t="s">
        <v>167</v>
      </c>
      <c r="G44" s="346" t="s">
        <v>176</v>
      </c>
      <c r="H44" s="346" t="s">
        <v>63</v>
      </c>
    </row>
    <row r="45" spans="2:8" s="1" customFormat="1" ht="14.4" customHeight="1" x14ac:dyDescent="0.25">
      <c r="B45" s="344" t="s">
        <v>447</v>
      </c>
      <c r="C45" s="545" t="s">
        <v>910</v>
      </c>
      <c r="D45" s="345" t="s">
        <v>166</v>
      </c>
      <c r="E45" s="346" t="s">
        <v>166</v>
      </c>
      <c r="F45" s="346" t="s">
        <v>167</v>
      </c>
      <c r="G45" s="346" t="s">
        <v>176</v>
      </c>
      <c r="H45" s="346" t="s">
        <v>63</v>
      </c>
    </row>
    <row r="46" spans="2:8" s="1" customFormat="1" ht="14.4" customHeight="1" x14ac:dyDescent="0.25">
      <c r="B46" s="344" t="s">
        <v>449</v>
      </c>
      <c r="C46" s="545" t="s">
        <v>911</v>
      </c>
      <c r="D46" s="345" t="s">
        <v>166</v>
      </c>
      <c r="E46" s="346" t="s">
        <v>166</v>
      </c>
      <c r="F46" s="346" t="s">
        <v>167</v>
      </c>
      <c r="G46" s="346" t="s">
        <v>176</v>
      </c>
      <c r="H46" s="346" t="s">
        <v>63</v>
      </c>
    </row>
    <row r="47" spans="2:8" s="1" customFormat="1" ht="14.4" customHeight="1" x14ac:dyDescent="0.25">
      <c r="B47" s="344" t="s">
        <v>451</v>
      </c>
      <c r="C47" s="545" t="s">
        <v>912</v>
      </c>
      <c r="D47" s="345" t="s">
        <v>166</v>
      </c>
      <c r="E47" s="346" t="s">
        <v>166</v>
      </c>
      <c r="F47" s="346" t="s">
        <v>167</v>
      </c>
      <c r="G47" s="346" t="s">
        <v>176</v>
      </c>
      <c r="H47" s="346" t="s">
        <v>63</v>
      </c>
    </row>
    <row r="48" spans="2:8" s="1" customFormat="1" ht="14.4" customHeight="1" x14ac:dyDescent="0.25">
      <c r="B48" s="344" t="s">
        <v>453</v>
      </c>
      <c r="C48" s="545" t="s">
        <v>913</v>
      </c>
      <c r="D48" s="345" t="s">
        <v>166</v>
      </c>
      <c r="E48" s="346" t="s">
        <v>166</v>
      </c>
      <c r="F48" s="346" t="s">
        <v>167</v>
      </c>
      <c r="G48" s="346" t="s">
        <v>176</v>
      </c>
      <c r="H48" s="346" t="s">
        <v>63</v>
      </c>
    </row>
    <row r="49" spans="2:8" s="1" customFormat="1" ht="14.4" customHeight="1" x14ac:dyDescent="0.25">
      <c r="B49" s="344" t="s">
        <v>455</v>
      </c>
      <c r="C49" s="545" t="s">
        <v>914</v>
      </c>
      <c r="D49" s="345" t="s">
        <v>166</v>
      </c>
      <c r="E49" s="346" t="s">
        <v>166</v>
      </c>
      <c r="F49" s="346" t="s">
        <v>167</v>
      </c>
      <c r="G49" s="346" t="s">
        <v>176</v>
      </c>
      <c r="H49" s="346" t="s">
        <v>63</v>
      </c>
    </row>
    <row r="50" spans="2:8" s="1" customFormat="1" ht="14.4" customHeight="1" x14ac:dyDescent="0.25">
      <c r="B50" s="344" t="s">
        <v>457</v>
      </c>
      <c r="C50" s="545" t="s">
        <v>915</v>
      </c>
      <c r="D50" s="345" t="s">
        <v>166</v>
      </c>
      <c r="E50" s="346" t="s">
        <v>166</v>
      </c>
      <c r="F50" s="346" t="s">
        <v>167</v>
      </c>
      <c r="G50" s="346" t="s">
        <v>176</v>
      </c>
      <c r="H50" s="346" t="s">
        <v>63</v>
      </c>
    </row>
    <row r="51" spans="2:8" s="1" customFormat="1" ht="14.4" customHeight="1" x14ac:dyDescent="0.25">
      <c r="B51" s="344" t="s">
        <v>459</v>
      </c>
      <c r="C51" s="545" t="s">
        <v>916</v>
      </c>
      <c r="D51" s="345" t="s">
        <v>166</v>
      </c>
      <c r="E51" s="346" t="s">
        <v>166</v>
      </c>
      <c r="F51" s="346" t="s">
        <v>167</v>
      </c>
      <c r="G51" s="346" t="s">
        <v>176</v>
      </c>
      <c r="H51" s="346" t="s">
        <v>63</v>
      </c>
    </row>
    <row r="52" spans="2:8" s="1" customFormat="1" ht="14.4" customHeight="1" x14ac:dyDescent="0.25">
      <c r="B52" s="344" t="s">
        <v>461</v>
      </c>
      <c r="C52" s="545" t="s">
        <v>917</v>
      </c>
      <c r="D52" s="345" t="s">
        <v>166</v>
      </c>
      <c r="E52" s="346" t="s">
        <v>166</v>
      </c>
      <c r="F52" s="346" t="s">
        <v>167</v>
      </c>
      <c r="G52" s="346" t="s">
        <v>176</v>
      </c>
      <c r="H52" s="346" t="s">
        <v>63</v>
      </c>
    </row>
    <row r="53" spans="2:8" s="1" customFormat="1" ht="14.4" customHeight="1" x14ac:dyDescent="0.25">
      <c r="B53" s="344" t="s">
        <v>463</v>
      </c>
      <c r="C53" s="545" t="s">
        <v>918</v>
      </c>
      <c r="D53" s="345" t="s">
        <v>166</v>
      </c>
      <c r="E53" s="346" t="s">
        <v>166</v>
      </c>
      <c r="F53" s="346" t="s">
        <v>167</v>
      </c>
      <c r="G53" s="346" t="s">
        <v>176</v>
      </c>
      <c r="H53" s="346" t="s">
        <v>63</v>
      </c>
    </row>
    <row r="54" spans="2:8" s="1" customFormat="1" ht="14.4" customHeight="1" x14ac:dyDescent="0.25">
      <c r="B54" s="344" t="s">
        <v>651</v>
      </c>
      <c r="C54" s="545" t="s">
        <v>919</v>
      </c>
      <c r="D54" s="345" t="s">
        <v>166</v>
      </c>
      <c r="E54" s="346" t="s">
        <v>166</v>
      </c>
      <c r="F54" s="346" t="s">
        <v>167</v>
      </c>
      <c r="G54" s="346" t="s">
        <v>176</v>
      </c>
      <c r="H54" s="346" t="s">
        <v>63</v>
      </c>
    </row>
    <row r="55" spans="2:8" s="1" customFormat="1" ht="14.4" customHeight="1" x14ac:dyDescent="0.25">
      <c r="B55" s="344" t="s">
        <v>652</v>
      </c>
      <c r="C55" s="545" t="s">
        <v>920</v>
      </c>
      <c r="D55" s="345" t="s">
        <v>166</v>
      </c>
      <c r="E55" s="346" t="s">
        <v>166</v>
      </c>
      <c r="F55" s="346" t="s">
        <v>167</v>
      </c>
      <c r="G55" s="346" t="s">
        <v>176</v>
      </c>
      <c r="H55" s="346" t="s">
        <v>63</v>
      </c>
    </row>
    <row r="56" spans="2:8" s="1" customFormat="1" ht="14.4" customHeight="1" x14ac:dyDescent="0.25">
      <c r="B56" s="344" t="s">
        <v>467</v>
      </c>
      <c r="C56" s="545" t="s">
        <v>921</v>
      </c>
      <c r="D56" s="345" t="s">
        <v>166</v>
      </c>
      <c r="E56" s="346" t="s">
        <v>166</v>
      </c>
      <c r="F56" s="346" t="s">
        <v>167</v>
      </c>
      <c r="G56" s="346" t="s">
        <v>176</v>
      </c>
      <c r="H56" s="346" t="s">
        <v>63</v>
      </c>
    </row>
    <row r="57" spans="2:8" s="1" customFormat="1" ht="14.4" customHeight="1" x14ac:dyDescent="0.25">
      <c r="B57" s="344" t="s">
        <v>469</v>
      </c>
      <c r="C57" s="545" t="s">
        <v>922</v>
      </c>
      <c r="D57" s="345" t="s">
        <v>166</v>
      </c>
      <c r="E57" s="346" t="s">
        <v>166</v>
      </c>
      <c r="F57" s="346" t="s">
        <v>167</v>
      </c>
      <c r="G57" s="346" t="s">
        <v>176</v>
      </c>
      <c r="H57" s="346" t="s">
        <v>63</v>
      </c>
    </row>
    <row r="58" spans="2:8" s="1" customFormat="1" ht="14.4" customHeight="1" x14ac:dyDescent="0.25">
      <c r="B58" s="344" t="s">
        <v>471</v>
      </c>
      <c r="C58" s="545" t="s">
        <v>923</v>
      </c>
      <c r="D58" s="345" t="s">
        <v>166</v>
      </c>
      <c r="E58" s="346" t="s">
        <v>166</v>
      </c>
      <c r="F58" s="346" t="s">
        <v>167</v>
      </c>
      <c r="G58" s="346" t="s">
        <v>176</v>
      </c>
      <c r="H58" s="346" t="s">
        <v>63</v>
      </c>
    </row>
    <row r="59" spans="2:8" s="1" customFormat="1" ht="14.4" customHeight="1" x14ac:dyDescent="0.25">
      <c r="B59" s="344" t="s">
        <v>473</v>
      </c>
      <c r="C59" s="545" t="s">
        <v>924</v>
      </c>
      <c r="D59" s="345" t="s">
        <v>166</v>
      </c>
      <c r="E59" s="346" t="s">
        <v>166</v>
      </c>
      <c r="F59" s="346" t="s">
        <v>167</v>
      </c>
      <c r="G59" s="346" t="s">
        <v>176</v>
      </c>
      <c r="H59" s="346" t="s">
        <v>63</v>
      </c>
    </row>
    <row r="60" spans="2:8" s="1" customFormat="1" ht="14.4" customHeight="1" x14ac:dyDescent="0.25">
      <c r="B60" s="344" t="s">
        <v>474</v>
      </c>
      <c r="C60" s="545" t="s">
        <v>925</v>
      </c>
      <c r="D60" s="345" t="s">
        <v>166</v>
      </c>
      <c r="E60" s="346" t="s">
        <v>166</v>
      </c>
      <c r="F60" s="346" t="s">
        <v>167</v>
      </c>
      <c r="G60" s="346" t="s">
        <v>176</v>
      </c>
      <c r="H60" s="346" t="s">
        <v>63</v>
      </c>
    </row>
    <row r="61" spans="2:8" s="1" customFormat="1" ht="14.4" customHeight="1" x14ac:dyDescent="0.25">
      <c r="B61" s="344" t="s">
        <v>475</v>
      </c>
      <c r="C61" s="545" t="s">
        <v>926</v>
      </c>
      <c r="D61" s="345" t="s">
        <v>166</v>
      </c>
      <c r="E61" s="346" t="s">
        <v>166</v>
      </c>
      <c r="F61" s="346" t="s">
        <v>167</v>
      </c>
      <c r="G61" s="346" t="s">
        <v>176</v>
      </c>
      <c r="H61" s="346" t="s">
        <v>63</v>
      </c>
    </row>
    <row r="62" spans="2:8" s="1" customFormat="1" ht="14.4" customHeight="1" x14ac:dyDescent="0.25">
      <c r="B62" s="344" t="s">
        <v>476</v>
      </c>
      <c r="C62" s="545" t="s">
        <v>927</v>
      </c>
      <c r="D62" s="345" t="s">
        <v>166</v>
      </c>
      <c r="E62" s="346" t="s">
        <v>166</v>
      </c>
      <c r="F62" s="346" t="s">
        <v>167</v>
      </c>
      <c r="G62" s="346" t="s">
        <v>176</v>
      </c>
      <c r="H62" s="346" t="s">
        <v>63</v>
      </c>
    </row>
    <row r="63" spans="2:8" s="1" customFormat="1" ht="14.4" customHeight="1" x14ac:dyDescent="0.25">
      <c r="B63" s="344" t="s">
        <v>477</v>
      </c>
      <c r="C63" s="545" t="s">
        <v>928</v>
      </c>
      <c r="D63" s="345" t="s">
        <v>166</v>
      </c>
      <c r="E63" s="346" t="s">
        <v>166</v>
      </c>
      <c r="F63" s="346" t="s">
        <v>167</v>
      </c>
      <c r="G63" s="346" t="s">
        <v>176</v>
      </c>
      <c r="H63" s="346" t="s">
        <v>63</v>
      </c>
    </row>
    <row r="64" spans="2:8" s="1" customFormat="1" ht="14.4" customHeight="1" x14ac:dyDescent="0.25">
      <c r="B64" s="344" t="s">
        <v>478</v>
      </c>
      <c r="C64" s="545" t="s">
        <v>929</v>
      </c>
      <c r="D64" s="345" t="s">
        <v>166</v>
      </c>
      <c r="E64" s="346" t="s">
        <v>166</v>
      </c>
      <c r="F64" s="346" t="s">
        <v>167</v>
      </c>
      <c r="G64" s="346" t="s">
        <v>176</v>
      </c>
      <c r="H64" s="346" t="s">
        <v>63</v>
      </c>
    </row>
    <row r="65" spans="2:8" s="1" customFormat="1" ht="14.4" customHeight="1" x14ac:dyDescent="0.25">
      <c r="B65" s="344" t="s">
        <v>479</v>
      </c>
      <c r="C65" s="545" t="s">
        <v>930</v>
      </c>
      <c r="D65" s="345" t="s">
        <v>166</v>
      </c>
      <c r="E65" s="346" t="s">
        <v>166</v>
      </c>
      <c r="F65" s="346" t="s">
        <v>167</v>
      </c>
      <c r="G65" s="346" t="s">
        <v>176</v>
      </c>
      <c r="H65" s="346" t="s">
        <v>63</v>
      </c>
    </row>
    <row r="66" spans="2:8" s="1" customFormat="1" ht="14.4" customHeight="1" x14ac:dyDescent="0.25">
      <c r="B66" s="344" t="s">
        <v>480</v>
      </c>
      <c r="C66" s="545" t="s">
        <v>931</v>
      </c>
      <c r="D66" s="345" t="s">
        <v>166</v>
      </c>
      <c r="E66" s="346" t="s">
        <v>166</v>
      </c>
      <c r="F66" s="346" t="s">
        <v>167</v>
      </c>
      <c r="G66" s="346" t="s">
        <v>176</v>
      </c>
      <c r="H66" s="346" t="s">
        <v>63</v>
      </c>
    </row>
    <row r="67" spans="2:8" s="1" customFormat="1" ht="14.4" customHeight="1" x14ac:dyDescent="0.25">
      <c r="B67" s="344" t="s">
        <v>481</v>
      </c>
      <c r="C67" s="545" t="s">
        <v>932</v>
      </c>
      <c r="D67" s="345" t="s">
        <v>166</v>
      </c>
      <c r="E67" s="346" t="s">
        <v>166</v>
      </c>
      <c r="F67" s="346" t="s">
        <v>167</v>
      </c>
      <c r="G67" s="346" t="s">
        <v>176</v>
      </c>
      <c r="H67" s="346" t="s">
        <v>63</v>
      </c>
    </row>
    <row r="68" spans="2:8" s="1" customFormat="1" ht="14.4" customHeight="1" x14ac:dyDescent="0.25">
      <c r="B68" s="344" t="s">
        <v>483</v>
      </c>
      <c r="C68" s="545" t="s">
        <v>933</v>
      </c>
      <c r="D68" s="345" t="s">
        <v>166</v>
      </c>
      <c r="E68" s="346" t="s">
        <v>166</v>
      </c>
      <c r="F68" s="346" t="s">
        <v>167</v>
      </c>
      <c r="G68" s="346" t="s">
        <v>176</v>
      </c>
      <c r="H68" s="346" t="s">
        <v>63</v>
      </c>
    </row>
    <row r="69" spans="2:8" s="1" customFormat="1" ht="14.4" customHeight="1" x14ac:dyDescent="0.25">
      <c r="B69" s="344" t="s">
        <v>484</v>
      </c>
      <c r="C69" s="545" t="s">
        <v>934</v>
      </c>
      <c r="D69" s="345" t="s">
        <v>166</v>
      </c>
      <c r="E69" s="346" t="s">
        <v>166</v>
      </c>
      <c r="F69" s="346" t="s">
        <v>167</v>
      </c>
      <c r="G69" s="346" t="s">
        <v>176</v>
      </c>
      <c r="H69" s="346" t="s">
        <v>63</v>
      </c>
    </row>
    <row r="70" spans="2:8" s="1" customFormat="1" ht="14.4" customHeight="1" x14ac:dyDescent="0.25">
      <c r="B70" s="344" t="s">
        <v>486</v>
      </c>
      <c r="C70" s="545" t="s">
        <v>935</v>
      </c>
      <c r="D70" s="345" t="s">
        <v>166</v>
      </c>
      <c r="E70" s="346" t="s">
        <v>166</v>
      </c>
      <c r="F70" s="346" t="s">
        <v>167</v>
      </c>
      <c r="G70" s="346" t="s">
        <v>176</v>
      </c>
      <c r="H70" s="346" t="s">
        <v>63</v>
      </c>
    </row>
    <row r="71" spans="2:8" s="1" customFormat="1" ht="14.4" customHeight="1" x14ac:dyDescent="0.25">
      <c r="B71" s="344" t="s">
        <v>487</v>
      </c>
      <c r="C71" s="545" t="s">
        <v>936</v>
      </c>
      <c r="D71" s="345" t="s">
        <v>166</v>
      </c>
      <c r="E71" s="346" t="s">
        <v>166</v>
      </c>
      <c r="F71" s="346" t="s">
        <v>167</v>
      </c>
      <c r="G71" s="346" t="s">
        <v>176</v>
      </c>
      <c r="H71" s="346" t="s">
        <v>63</v>
      </c>
    </row>
    <row r="72" spans="2:8" s="1" customFormat="1" ht="14.4" customHeight="1" x14ac:dyDescent="0.25">
      <c r="B72" s="344" t="s">
        <v>489</v>
      </c>
      <c r="C72" s="545" t="s">
        <v>937</v>
      </c>
      <c r="D72" s="345" t="s">
        <v>166</v>
      </c>
      <c r="E72" s="346" t="s">
        <v>166</v>
      </c>
      <c r="F72" s="346" t="s">
        <v>167</v>
      </c>
      <c r="G72" s="346" t="s">
        <v>176</v>
      </c>
      <c r="H72" s="346" t="s">
        <v>63</v>
      </c>
    </row>
    <row r="73" spans="2:8" s="1" customFormat="1" ht="14.4" customHeight="1" x14ac:dyDescent="0.25">
      <c r="B73" s="344" t="s">
        <v>491</v>
      </c>
      <c r="C73" s="545" t="s">
        <v>938</v>
      </c>
      <c r="D73" s="345" t="s">
        <v>166</v>
      </c>
      <c r="E73" s="346" t="s">
        <v>166</v>
      </c>
      <c r="F73" s="346" t="s">
        <v>167</v>
      </c>
      <c r="G73" s="346" t="s">
        <v>176</v>
      </c>
      <c r="H73" s="346" t="s">
        <v>63</v>
      </c>
    </row>
    <row r="74" spans="2:8" s="1" customFormat="1" ht="14.4" customHeight="1" x14ac:dyDescent="0.25">
      <c r="B74" s="344" t="s">
        <v>492</v>
      </c>
      <c r="C74" s="545" t="s">
        <v>939</v>
      </c>
      <c r="D74" s="345" t="s">
        <v>166</v>
      </c>
      <c r="E74" s="346" t="s">
        <v>166</v>
      </c>
      <c r="F74" s="346" t="s">
        <v>167</v>
      </c>
      <c r="G74" s="346" t="s">
        <v>176</v>
      </c>
      <c r="H74" s="346" t="s">
        <v>63</v>
      </c>
    </row>
    <row r="75" spans="2:8" s="1" customFormat="1" ht="14.4" customHeight="1" x14ac:dyDescent="0.25">
      <c r="B75" s="344" t="s">
        <v>494</v>
      </c>
      <c r="C75" s="545" t="s">
        <v>940</v>
      </c>
      <c r="D75" s="345" t="s">
        <v>166</v>
      </c>
      <c r="E75" s="346" t="s">
        <v>166</v>
      </c>
      <c r="F75" s="346" t="s">
        <v>167</v>
      </c>
      <c r="G75" s="346" t="s">
        <v>176</v>
      </c>
      <c r="H75" s="346" t="s">
        <v>63</v>
      </c>
    </row>
    <row r="76" spans="2:8" s="1" customFormat="1" ht="14.4" customHeight="1" x14ac:dyDescent="0.25">
      <c r="B76" s="344" t="s">
        <v>495</v>
      </c>
      <c r="C76" s="545" t="s">
        <v>941</v>
      </c>
      <c r="D76" s="345" t="s">
        <v>166</v>
      </c>
      <c r="E76" s="346" t="s">
        <v>166</v>
      </c>
      <c r="F76" s="346" t="s">
        <v>167</v>
      </c>
      <c r="G76" s="346" t="s">
        <v>176</v>
      </c>
      <c r="H76" s="346" t="s">
        <v>63</v>
      </c>
    </row>
    <row r="77" spans="2:8" s="1" customFormat="1" ht="14.4" customHeight="1" x14ac:dyDescent="0.25">
      <c r="B77" s="344" t="s">
        <v>497</v>
      </c>
      <c r="C77" s="545" t="s">
        <v>942</v>
      </c>
      <c r="D77" s="345" t="s">
        <v>166</v>
      </c>
      <c r="E77" s="346" t="s">
        <v>166</v>
      </c>
      <c r="F77" s="346" t="s">
        <v>167</v>
      </c>
      <c r="G77" s="346" t="s">
        <v>176</v>
      </c>
      <c r="H77" s="346" t="s">
        <v>63</v>
      </c>
    </row>
    <row r="78" spans="2:8" s="1" customFormat="1" ht="14.4" customHeight="1" x14ac:dyDescent="0.25">
      <c r="B78" s="344" t="s">
        <v>498</v>
      </c>
      <c r="C78" s="545" t="s">
        <v>943</v>
      </c>
      <c r="D78" s="345" t="s">
        <v>166</v>
      </c>
      <c r="E78" s="346" t="s">
        <v>166</v>
      </c>
      <c r="F78" s="346" t="s">
        <v>167</v>
      </c>
      <c r="G78" s="346" t="s">
        <v>176</v>
      </c>
      <c r="H78" s="346" t="s">
        <v>63</v>
      </c>
    </row>
    <row r="79" spans="2:8" s="1" customFormat="1" ht="14.4" customHeight="1" x14ac:dyDescent="0.25">
      <c r="B79" s="344" t="s">
        <v>499</v>
      </c>
      <c r="C79" s="545" t="s">
        <v>944</v>
      </c>
      <c r="D79" s="345" t="s">
        <v>166</v>
      </c>
      <c r="E79" s="346" t="s">
        <v>166</v>
      </c>
      <c r="F79" s="346" t="s">
        <v>167</v>
      </c>
      <c r="G79" s="346" t="s">
        <v>176</v>
      </c>
      <c r="H79" s="346" t="s">
        <v>63</v>
      </c>
    </row>
    <row r="80" spans="2:8" s="1" customFormat="1" ht="14.4" customHeight="1" x14ac:dyDescent="0.25">
      <c r="B80" s="344" t="s">
        <v>500</v>
      </c>
      <c r="C80" s="545" t="s">
        <v>945</v>
      </c>
      <c r="D80" s="345" t="s">
        <v>166</v>
      </c>
      <c r="E80" s="346" t="s">
        <v>166</v>
      </c>
      <c r="F80" s="346" t="s">
        <v>167</v>
      </c>
      <c r="G80" s="346" t="s">
        <v>176</v>
      </c>
      <c r="H80" s="346" t="s">
        <v>63</v>
      </c>
    </row>
    <row r="81" spans="2:9" s="1" customFormat="1" ht="14.4" customHeight="1" x14ac:dyDescent="0.25">
      <c r="B81" s="344" t="s">
        <v>502</v>
      </c>
      <c r="C81" s="545" t="s">
        <v>946</v>
      </c>
      <c r="D81" s="345" t="s">
        <v>166</v>
      </c>
      <c r="E81" s="346" t="s">
        <v>166</v>
      </c>
      <c r="F81" s="346" t="s">
        <v>167</v>
      </c>
      <c r="G81" s="346" t="s">
        <v>176</v>
      </c>
      <c r="H81" s="346" t="s">
        <v>63</v>
      </c>
    </row>
    <row r="82" spans="2:9" s="1" customFormat="1" ht="14.4" customHeight="1" x14ac:dyDescent="0.25">
      <c r="B82" s="344" t="s">
        <v>503</v>
      </c>
      <c r="C82" s="545" t="s">
        <v>947</v>
      </c>
      <c r="D82" s="345" t="s">
        <v>166</v>
      </c>
      <c r="E82" s="346" t="s">
        <v>166</v>
      </c>
      <c r="F82" s="346" t="s">
        <v>167</v>
      </c>
      <c r="G82" s="346" t="s">
        <v>176</v>
      </c>
      <c r="H82" s="346" t="s">
        <v>63</v>
      </c>
    </row>
    <row r="83" spans="2:9" s="1" customFormat="1" ht="14.4" customHeight="1" x14ac:dyDescent="0.25">
      <c r="B83" s="344" t="s">
        <v>504</v>
      </c>
      <c r="C83" s="545" t="s">
        <v>948</v>
      </c>
      <c r="D83" s="345" t="s">
        <v>166</v>
      </c>
      <c r="E83" s="346" t="s">
        <v>166</v>
      </c>
      <c r="F83" s="346" t="s">
        <v>167</v>
      </c>
      <c r="G83" s="346" t="s">
        <v>176</v>
      </c>
      <c r="H83" s="346" t="s">
        <v>63</v>
      </c>
    </row>
    <row r="84" spans="2:9" s="1" customFormat="1" ht="14.4" customHeight="1" x14ac:dyDescent="0.25">
      <c r="B84" s="344" t="s">
        <v>653</v>
      </c>
      <c r="C84" s="545" t="s">
        <v>949</v>
      </c>
      <c r="D84" s="345" t="s">
        <v>166</v>
      </c>
      <c r="E84" s="346" t="s">
        <v>166</v>
      </c>
      <c r="F84" s="346" t="s">
        <v>167</v>
      </c>
      <c r="G84" s="346" t="s">
        <v>176</v>
      </c>
      <c r="H84" s="346" t="s">
        <v>63</v>
      </c>
    </row>
    <row r="85" spans="2:9" s="1" customFormat="1" ht="14.4" customHeight="1" x14ac:dyDescent="0.25">
      <c r="B85" s="344" t="s">
        <v>654</v>
      </c>
      <c r="C85" s="545" t="s">
        <v>950</v>
      </c>
      <c r="D85" s="345" t="s">
        <v>166</v>
      </c>
      <c r="E85" s="346" t="s">
        <v>166</v>
      </c>
      <c r="F85" s="346" t="s">
        <v>167</v>
      </c>
      <c r="G85" s="346" t="s">
        <v>176</v>
      </c>
      <c r="H85" s="346" t="s">
        <v>63</v>
      </c>
    </row>
    <row r="86" spans="2:9" s="1" customFormat="1" ht="14.4" customHeight="1" x14ac:dyDescent="0.25">
      <c r="B86" s="344" t="s">
        <v>505</v>
      </c>
      <c r="C86" s="545" t="s">
        <v>951</v>
      </c>
      <c r="D86" s="345" t="s">
        <v>166</v>
      </c>
      <c r="E86" s="346" t="s">
        <v>166</v>
      </c>
      <c r="F86" s="346" t="s">
        <v>167</v>
      </c>
      <c r="G86" s="346" t="s">
        <v>176</v>
      </c>
      <c r="H86" s="346" t="s">
        <v>63</v>
      </c>
    </row>
    <row r="87" spans="2:9" s="1" customFormat="1" ht="14.4" customHeight="1" x14ac:dyDescent="0.25">
      <c r="B87" s="344" t="s">
        <v>506</v>
      </c>
      <c r="C87" s="545" t="s">
        <v>952</v>
      </c>
      <c r="D87" s="345" t="s">
        <v>166</v>
      </c>
      <c r="E87" s="346" t="s">
        <v>166</v>
      </c>
      <c r="F87" s="346" t="s">
        <v>167</v>
      </c>
      <c r="G87" s="346" t="s">
        <v>176</v>
      </c>
      <c r="H87" s="346" t="s">
        <v>63</v>
      </c>
    </row>
    <row r="88" spans="2:9" s="1" customFormat="1" ht="14.4" customHeight="1" x14ac:dyDescent="0.25">
      <c r="B88" s="344" t="s">
        <v>507</v>
      </c>
      <c r="C88" s="545" t="s">
        <v>953</v>
      </c>
      <c r="D88" s="345" t="s">
        <v>166</v>
      </c>
      <c r="E88" s="346" t="s">
        <v>166</v>
      </c>
      <c r="F88" s="346" t="s">
        <v>167</v>
      </c>
      <c r="G88" s="346" t="s">
        <v>176</v>
      </c>
      <c r="H88" s="346" t="s">
        <v>63</v>
      </c>
    </row>
    <row r="89" spans="2:9" s="1" customFormat="1" ht="14.4" customHeight="1" x14ac:dyDescent="0.25">
      <c r="B89" s="344" t="s">
        <v>508</v>
      </c>
      <c r="C89" s="545" t="s">
        <v>954</v>
      </c>
      <c r="D89" s="345" t="s">
        <v>166</v>
      </c>
      <c r="E89" s="346" t="s">
        <v>166</v>
      </c>
      <c r="F89" s="346" t="s">
        <v>167</v>
      </c>
      <c r="G89" s="346" t="s">
        <v>176</v>
      </c>
      <c r="H89" s="346" t="s">
        <v>63</v>
      </c>
    </row>
    <row r="90" spans="2:9" s="1" customFormat="1" ht="14.4" customHeight="1" x14ac:dyDescent="0.25">
      <c r="B90" s="344" t="s">
        <v>509</v>
      </c>
      <c r="C90" s="545" t="s">
        <v>955</v>
      </c>
      <c r="D90" s="345" t="s">
        <v>166</v>
      </c>
      <c r="E90" s="346" t="s">
        <v>166</v>
      </c>
      <c r="F90" s="346" t="s">
        <v>167</v>
      </c>
      <c r="G90" s="346" t="s">
        <v>176</v>
      </c>
      <c r="H90" s="346" t="s">
        <v>63</v>
      </c>
    </row>
    <row r="91" spans="2:9" s="1" customFormat="1" ht="14.4" customHeight="1" x14ac:dyDescent="0.25">
      <c r="B91" s="344" t="s">
        <v>510</v>
      </c>
      <c r="C91" s="545" t="s">
        <v>956</v>
      </c>
      <c r="D91" s="345" t="s">
        <v>166</v>
      </c>
      <c r="E91" s="346" t="s">
        <v>166</v>
      </c>
      <c r="F91" s="346" t="s">
        <v>167</v>
      </c>
      <c r="G91" s="346" t="s">
        <v>176</v>
      </c>
      <c r="H91" s="346" t="s">
        <v>63</v>
      </c>
    </row>
    <row r="92" spans="2:9" s="1" customFormat="1" ht="14.4" customHeight="1" x14ac:dyDescent="0.25">
      <c r="B92" s="344" t="s">
        <v>511</v>
      </c>
      <c r="C92" s="545" t="s">
        <v>957</v>
      </c>
      <c r="D92" s="345" t="s">
        <v>166</v>
      </c>
      <c r="E92" s="346" t="s">
        <v>166</v>
      </c>
      <c r="F92" s="346" t="s">
        <v>167</v>
      </c>
      <c r="G92" s="346" t="s">
        <v>176</v>
      </c>
      <c r="H92" s="346" t="s">
        <v>63</v>
      </c>
    </row>
    <row r="93" spans="2:9" s="1" customFormat="1" ht="14.4" customHeight="1" x14ac:dyDescent="0.25">
      <c r="B93" s="344" t="s">
        <v>512</v>
      </c>
      <c r="C93" s="545" t="s">
        <v>958</v>
      </c>
      <c r="D93" s="345" t="s">
        <v>166</v>
      </c>
      <c r="E93" s="346" t="s">
        <v>166</v>
      </c>
      <c r="F93" s="346" t="s">
        <v>167</v>
      </c>
      <c r="G93" s="346" t="s">
        <v>176</v>
      </c>
      <c r="H93" s="346" t="s">
        <v>63</v>
      </c>
    </row>
    <row r="94" spans="2:9" s="1" customFormat="1" ht="14.4" customHeight="1" x14ac:dyDescent="0.25">
      <c r="B94" s="344" t="s">
        <v>514</v>
      </c>
      <c r="C94" s="545" t="s">
        <v>959</v>
      </c>
      <c r="D94" s="345" t="s">
        <v>166</v>
      </c>
      <c r="E94" s="346" t="s">
        <v>166</v>
      </c>
      <c r="F94" s="346" t="s">
        <v>167</v>
      </c>
      <c r="G94" s="346" t="s">
        <v>176</v>
      </c>
      <c r="H94" s="346" t="s">
        <v>63</v>
      </c>
    </row>
    <row r="95" spans="2:9" s="1" customFormat="1" ht="14.4" customHeight="1" x14ac:dyDescent="0.3">
      <c r="B95" s="337" t="s">
        <v>515</v>
      </c>
      <c r="C95" s="546" t="s">
        <v>670</v>
      </c>
      <c r="D95" s="158" t="s">
        <v>166</v>
      </c>
      <c r="E95" s="330" t="s">
        <v>166</v>
      </c>
      <c r="F95" s="330" t="s">
        <v>167</v>
      </c>
      <c r="G95" s="330" t="s">
        <v>176</v>
      </c>
      <c r="H95" s="330" t="s">
        <v>63</v>
      </c>
      <c r="I95" s="114" t="s">
        <v>639</v>
      </c>
    </row>
    <row r="96" spans="2:9" s="1" customFormat="1" ht="14.4" customHeight="1" x14ac:dyDescent="0.3">
      <c r="B96" s="337" t="s">
        <v>516</v>
      </c>
      <c r="C96" s="546" t="s">
        <v>671</v>
      </c>
      <c r="D96" s="158" t="s">
        <v>166</v>
      </c>
      <c r="E96" s="330" t="s">
        <v>166</v>
      </c>
      <c r="F96" s="330" t="s">
        <v>167</v>
      </c>
      <c r="G96" s="330" t="s">
        <v>176</v>
      </c>
      <c r="H96" s="330" t="s">
        <v>63</v>
      </c>
      <c r="I96" s="114"/>
    </row>
    <row r="97" spans="2:9" s="1" customFormat="1" ht="14.4" customHeight="1" x14ac:dyDescent="0.3">
      <c r="B97" s="337" t="s">
        <v>517</v>
      </c>
      <c r="C97" s="546" t="s">
        <v>672</v>
      </c>
      <c r="D97" s="158" t="s">
        <v>166</v>
      </c>
      <c r="E97" s="330" t="s">
        <v>166</v>
      </c>
      <c r="F97" s="330" t="s">
        <v>167</v>
      </c>
      <c r="G97" s="330" t="s">
        <v>176</v>
      </c>
      <c r="H97" s="330" t="s">
        <v>63</v>
      </c>
      <c r="I97" s="114" t="s">
        <v>639</v>
      </c>
    </row>
    <row r="98" spans="2:9" s="1" customFormat="1" ht="14.4" customHeight="1" x14ac:dyDescent="0.3">
      <c r="B98" s="337" t="s">
        <v>518</v>
      </c>
      <c r="C98" s="546" t="s">
        <v>673</v>
      </c>
      <c r="D98" s="158" t="s">
        <v>166</v>
      </c>
      <c r="E98" s="330" t="s">
        <v>166</v>
      </c>
      <c r="F98" s="330" t="s">
        <v>167</v>
      </c>
      <c r="G98" s="330" t="s">
        <v>176</v>
      </c>
      <c r="H98" s="330" t="s">
        <v>63</v>
      </c>
    </row>
    <row r="99" spans="2:9" s="1" customFormat="1" ht="14.4" customHeight="1" x14ac:dyDescent="0.3">
      <c r="B99" s="337" t="s">
        <v>519</v>
      </c>
      <c r="C99" s="546" t="s">
        <v>674</v>
      </c>
      <c r="D99" s="158" t="s">
        <v>166</v>
      </c>
      <c r="E99" s="330" t="s">
        <v>166</v>
      </c>
      <c r="F99" s="330" t="s">
        <v>167</v>
      </c>
      <c r="G99" s="330" t="s">
        <v>176</v>
      </c>
      <c r="H99" s="330" t="s">
        <v>63</v>
      </c>
    </row>
    <row r="100" spans="2:9" s="1" customFormat="1" ht="14.4" customHeight="1" x14ac:dyDescent="0.3">
      <c r="B100" s="337" t="s">
        <v>520</v>
      </c>
      <c r="C100" s="546" t="s">
        <v>675</v>
      </c>
      <c r="D100" s="158" t="s">
        <v>166</v>
      </c>
      <c r="E100" s="330" t="s">
        <v>166</v>
      </c>
      <c r="F100" s="330" t="s">
        <v>167</v>
      </c>
      <c r="G100" s="330" t="s">
        <v>176</v>
      </c>
      <c r="H100" s="330" t="s">
        <v>63</v>
      </c>
      <c r="I100" s="114"/>
    </row>
    <row r="101" spans="2:9" s="1" customFormat="1" ht="14.4" customHeight="1" x14ac:dyDescent="0.3">
      <c r="B101" s="337" t="s">
        <v>521</v>
      </c>
      <c r="C101" s="546" t="s">
        <v>676</v>
      </c>
      <c r="D101" s="158" t="s">
        <v>166</v>
      </c>
      <c r="E101" s="330" t="s">
        <v>166</v>
      </c>
      <c r="F101" s="330" t="s">
        <v>167</v>
      </c>
      <c r="G101" s="330" t="s">
        <v>176</v>
      </c>
      <c r="H101" s="330" t="s">
        <v>63</v>
      </c>
      <c r="I101" s="114"/>
    </row>
    <row r="102" spans="2:9" s="1" customFormat="1" ht="14.4" customHeight="1" x14ac:dyDescent="0.3">
      <c r="B102" s="337" t="s">
        <v>522</v>
      </c>
      <c r="C102" s="546" t="s">
        <v>677</v>
      </c>
      <c r="D102" s="158" t="s">
        <v>166</v>
      </c>
      <c r="E102" s="330" t="s">
        <v>166</v>
      </c>
      <c r="F102" s="330" t="s">
        <v>167</v>
      </c>
      <c r="G102" s="330" t="s">
        <v>176</v>
      </c>
      <c r="H102" s="330" t="s">
        <v>63</v>
      </c>
      <c r="I102" s="114"/>
    </row>
    <row r="103" spans="2:9" s="1" customFormat="1" ht="14.4" customHeight="1" x14ac:dyDescent="0.3">
      <c r="B103" s="337" t="s">
        <v>523</v>
      </c>
      <c r="C103" s="546" t="s">
        <v>678</v>
      </c>
      <c r="D103" s="158" t="s">
        <v>166</v>
      </c>
      <c r="E103" s="330" t="s">
        <v>166</v>
      </c>
      <c r="F103" s="330" t="s">
        <v>167</v>
      </c>
      <c r="G103" s="330" t="s">
        <v>176</v>
      </c>
      <c r="H103" s="330" t="s">
        <v>63</v>
      </c>
      <c r="I103" s="114"/>
    </row>
    <row r="104" spans="2:9" s="1" customFormat="1" ht="14.4" customHeight="1" x14ac:dyDescent="0.3">
      <c r="B104" s="337" t="s">
        <v>525</v>
      </c>
      <c r="C104" s="546" t="s">
        <v>679</v>
      </c>
      <c r="D104" s="158" t="s">
        <v>166</v>
      </c>
      <c r="E104" s="330" t="s">
        <v>166</v>
      </c>
      <c r="F104" s="330" t="s">
        <v>167</v>
      </c>
      <c r="G104" s="330" t="s">
        <v>176</v>
      </c>
      <c r="H104" s="330" t="s">
        <v>63</v>
      </c>
      <c r="I104" s="114"/>
    </row>
    <row r="105" spans="2:9" s="1" customFormat="1" ht="14.4" customHeight="1" x14ac:dyDescent="0.3">
      <c r="B105" s="337" t="s">
        <v>526</v>
      </c>
      <c r="C105" s="546" t="s">
        <v>680</v>
      </c>
      <c r="D105" s="158" t="s">
        <v>166</v>
      </c>
      <c r="E105" s="330" t="s">
        <v>166</v>
      </c>
      <c r="F105" s="330" t="s">
        <v>167</v>
      </c>
      <c r="G105" s="330" t="s">
        <v>176</v>
      </c>
      <c r="H105" s="330" t="s">
        <v>63</v>
      </c>
      <c r="I105" s="114"/>
    </row>
    <row r="106" spans="2:9" s="1" customFormat="1" ht="14.4" customHeight="1" x14ac:dyDescent="0.3">
      <c r="B106" s="337" t="s">
        <v>528</v>
      </c>
      <c r="C106" s="546" t="s">
        <v>681</v>
      </c>
      <c r="D106" s="158" t="s">
        <v>166</v>
      </c>
      <c r="E106" s="330" t="s">
        <v>166</v>
      </c>
      <c r="F106" s="330" t="s">
        <v>167</v>
      </c>
      <c r="G106" s="330" t="s">
        <v>176</v>
      </c>
      <c r="H106" s="330" t="s">
        <v>63</v>
      </c>
      <c r="I106" s="114"/>
    </row>
    <row r="107" spans="2:9" s="1" customFormat="1" ht="14.4" customHeight="1" x14ac:dyDescent="0.3">
      <c r="B107" s="337" t="s">
        <v>530</v>
      </c>
      <c r="C107" s="546" t="s">
        <v>682</v>
      </c>
      <c r="D107" s="158" t="s">
        <v>166</v>
      </c>
      <c r="E107" s="330" t="s">
        <v>166</v>
      </c>
      <c r="F107" s="330" t="s">
        <v>167</v>
      </c>
      <c r="G107" s="330" t="s">
        <v>176</v>
      </c>
      <c r="H107" s="330" t="s">
        <v>63</v>
      </c>
      <c r="I107" s="114"/>
    </row>
    <row r="108" spans="2:9" s="1" customFormat="1" ht="14.4" customHeight="1" x14ac:dyDescent="0.3">
      <c r="B108" s="337" t="s">
        <v>531</v>
      </c>
      <c r="C108" s="546" t="s">
        <v>683</v>
      </c>
      <c r="D108" s="158" t="s">
        <v>166</v>
      </c>
      <c r="E108" s="330" t="s">
        <v>166</v>
      </c>
      <c r="F108" s="330" t="s">
        <v>167</v>
      </c>
      <c r="G108" s="330" t="s">
        <v>176</v>
      </c>
      <c r="H108" s="330" t="s">
        <v>63</v>
      </c>
      <c r="I108" s="114"/>
    </row>
    <row r="109" spans="2:9" s="1" customFormat="1" ht="14.4" customHeight="1" x14ac:dyDescent="0.3">
      <c r="B109" s="337" t="s">
        <v>532</v>
      </c>
      <c r="C109" s="546" t="s">
        <v>684</v>
      </c>
      <c r="D109" s="158" t="s">
        <v>166</v>
      </c>
      <c r="E109" s="330" t="s">
        <v>166</v>
      </c>
      <c r="F109" s="330" t="s">
        <v>167</v>
      </c>
      <c r="G109" s="330" t="s">
        <v>176</v>
      </c>
      <c r="H109" s="330" t="s">
        <v>63</v>
      </c>
      <c r="I109" s="114"/>
    </row>
    <row r="110" spans="2:9" s="1" customFormat="1" ht="14.4" customHeight="1" x14ac:dyDescent="0.3">
      <c r="B110" s="337" t="s">
        <v>533</v>
      </c>
      <c r="C110" s="546" t="s">
        <v>685</v>
      </c>
      <c r="D110" s="158" t="s">
        <v>166</v>
      </c>
      <c r="E110" s="330" t="s">
        <v>166</v>
      </c>
      <c r="F110" s="330" t="s">
        <v>167</v>
      </c>
      <c r="G110" s="330" t="s">
        <v>176</v>
      </c>
      <c r="H110" s="330" t="s">
        <v>63</v>
      </c>
      <c r="I110" s="114"/>
    </row>
    <row r="111" spans="2:9" s="1" customFormat="1" ht="14.4" customHeight="1" x14ac:dyDescent="0.3">
      <c r="B111" s="337" t="s">
        <v>534</v>
      </c>
      <c r="C111" s="546" t="s">
        <v>657</v>
      </c>
      <c r="D111" s="158" t="s">
        <v>166</v>
      </c>
      <c r="E111" s="330" t="s">
        <v>166</v>
      </c>
      <c r="F111" s="330" t="s">
        <v>167</v>
      </c>
      <c r="G111" s="330" t="s">
        <v>176</v>
      </c>
      <c r="H111" s="330" t="s">
        <v>63</v>
      </c>
      <c r="I111" s="114"/>
    </row>
    <row r="112" spans="2:9" s="1" customFormat="1" ht="14.4" customHeight="1" x14ac:dyDescent="0.3">
      <c r="B112" s="337" t="s">
        <v>536</v>
      </c>
      <c r="C112" s="546" t="s">
        <v>686</v>
      </c>
      <c r="D112" s="158" t="s">
        <v>166</v>
      </c>
      <c r="E112" s="330" t="s">
        <v>166</v>
      </c>
      <c r="F112" s="330" t="s">
        <v>167</v>
      </c>
      <c r="G112" s="330" t="s">
        <v>176</v>
      </c>
      <c r="H112" s="330" t="s">
        <v>63</v>
      </c>
      <c r="I112" s="114"/>
    </row>
    <row r="113" spans="2:9" s="1" customFormat="1" ht="14.4" customHeight="1" x14ac:dyDescent="0.3">
      <c r="B113" s="337" t="s">
        <v>537</v>
      </c>
      <c r="C113" s="546" t="s">
        <v>687</v>
      </c>
      <c r="D113" s="158" t="s">
        <v>166</v>
      </c>
      <c r="E113" s="330" t="s">
        <v>166</v>
      </c>
      <c r="F113" s="330" t="s">
        <v>167</v>
      </c>
      <c r="G113" s="330" t="s">
        <v>176</v>
      </c>
      <c r="H113" s="330" t="s">
        <v>63</v>
      </c>
      <c r="I113" s="114"/>
    </row>
    <row r="114" spans="2:9" s="1" customFormat="1" ht="14.4" customHeight="1" x14ac:dyDescent="0.3">
      <c r="B114" s="337" t="s">
        <v>538</v>
      </c>
      <c r="C114" s="546" t="s">
        <v>688</v>
      </c>
      <c r="D114" s="158" t="s">
        <v>166</v>
      </c>
      <c r="E114" s="330" t="s">
        <v>166</v>
      </c>
      <c r="F114" s="330" t="s">
        <v>167</v>
      </c>
      <c r="G114" s="330" t="s">
        <v>176</v>
      </c>
      <c r="H114" s="330" t="s">
        <v>63</v>
      </c>
      <c r="I114" s="114"/>
    </row>
    <row r="115" spans="2:9" s="1" customFormat="1" ht="14.4" customHeight="1" x14ac:dyDescent="0.3">
      <c r="B115" s="337" t="s">
        <v>540</v>
      </c>
      <c r="C115" s="546" t="s">
        <v>689</v>
      </c>
      <c r="D115" s="158" t="s">
        <v>166</v>
      </c>
      <c r="E115" s="330" t="s">
        <v>166</v>
      </c>
      <c r="F115" s="330" t="s">
        <v>167</v>
      </c>
      <c r="G115" s="330" t="s">
        <v>176</v>
      </c>
      <c r="H115" s="330" t="s">
        <v>63</v>
      </c>
      <c r="I115" s="114"/>
    </row>
    <row r="116" spans="2:9" s="1" customFormat="1" ht="14.4" customHeight="1" x14ac:dyDescent="0.3">
      <c r="B116" s="337" t="s">
        <v>541</v>
      </c>
      <c r="C116" s="546" t="s">
        <v>690</v>
      </c>
      <c r="D116" s="158" t="s">
        <v>166</v>
      </c>
      <c r="E116" s="330" t="s">
        <v>166</v>
      </c>
      <c r="F116" s="330" t="s">
        <v>167</v>
      </c>
      <c r="G116" s="330" t="s">
        <v>176</v>
      </c>
      <c r="H116" s="330" t="s">
        <v>63</v>
      </c>
      <c r="I116" s="114"/>
    </row>
    <row r="117" spans="2:9" s="1" customFormat="1" ht="14.4" customHeight="1" x14ac:dyDescent="0.3">
      <c r="B117" s="337" t="s">
        <v>543</v>
      </c>
      <c r="C117" s="546" t="s">
        <v>691</v>
      </c>
      <c r="D117" s="158" t="s">
        <v>166</v>
      </c>
      <c r="E117" s="330" t="s">
        <v>166</v>
      </c>
      <c r="F117" s="330" t="s">
        <v>167</v>
      </c>
      <c r="G117" s="330" t="s">
        <v>176</v>
      </c>
      <c r="H117" s="330" t="s">
        <v>63</v>
      </c>
      <c r="I117" s="114"/>
    </row>
    <row r="118" spans="2:9" s="1" customFormat="1" ht="14.4" customHeight="1" x14ac:dyDescent="0.3">
      <c r="B118" s="337" t="s">
        <v>545</v>
      </c>
      <c r="C118" s="546" t="s">
        <v>658</v>
      </c>
      <c r="D118" s="158" t="s">
        <v>166</v>
      </c>
      <c r="E118" s="330" t="s">
        <v>166</v>
      </c>
      <c r="F118" s="330" t="s">
        <v>167</v>
      </c>
      <c r="G118" s="330" t="s">
        <v>176</v>
      </c>
      <c r="H118" s="330" t="s">
        <v>63</v>
      </c>
      <c r="I118" s="114"/>
    </row>
    <row r="119" spans="2:9" s="1" customFormat="1" ht="14.4" customHeight="1" x14ac:dyDescent="0.3">
      <c r="B119" s="337" t="s">
        <v>960</v>
      </c>
      <c r="C119" s="546" t="s">
        <v>692</v>
      </c>
      <c r="D119" s="158" t="s">
        <v>166</v>
      </c>
      <c r="E119" s="330" t="s">
        <v>166</v>
      </c>
      <c r="F119" s="330" t="s">
        <v>167</v>
      </c>
      <c r="G119" s="330" t="s">
        <v>176</v>
      </c>
      <c r="H119" s="330" t="s">
        <v>63</v>
      </c>
      <c r="I119" s="114"/>
    </row>
    <row r="120" spans="2:9" s="1" customFormat="1" ht="14.4" customHeight="1" x14ac:dyDescent="0.3">
      <c r="B120" s="337" t="s">
        <v>961</v>
      </c>
      <c r="C120" s="546" t="s">
        <v>693</v>
      </c>
      <c r="D120" s="158" t="s">
        <v>166</v>
      </c>
      <c r="E120" s="330" t="s">
        <v>166</v>
      </c>
      <c r="F120" s="330" t="s">
        <v>167</v>
      </c>
      <c r="G120" s="330" t="s">
        <v>176</v>
      </c>
      <c r="H120" s="330" t="s">
        <v>63</v>
      </c>
      <c r="I120" s="114"/>
    </row>
    <row r="121" spans="2:9" s="1" customFormat="1" ht="14.4" customHeight="1" x14ac:dyDescent="0.3">
      <c r="B121" s="337" t="s">
        <v>962</v>
      </c>
      <c r="C121" s="546" t="s">
        <v>694</v>
      </c>
      <c r="D121" s="158" t="s">
        <v>166</v>
      </c>
      <c r="E121" s="330" t="s">
        <v>166</v>
      </c>
      <c r="F121" s="330" t="s">
        <v>167</v>
      </c>
      <c r="G121" s="330" t="s">
        <v>176</v>
      </c>
      <c r="H121" s="330" t="s">
        <v>63</v>
      </c>
      <c r="I121" s="114"/>
    </row>
    <row r="122" spans="2:9" s="1" customFormat="1" ht="14.4" customHeight="1" x14ac:dyDescent="0.3">
      <c r="B122" s="337" t="s">
        <v>963</v>
      </c>
      <c r="C122" s="546" t="s">
        <v>695</v>
      </c>
      <c r="D122" s="158" t="s">
        <v>166</v>
      </c>
      <c r="E122" s="330" t="s">
        <v>166</v>
      </c>
      <c r="F122" s="330" t="s">
        <v>167</v>
      </c>
      <c r="G122" s="330" t="s">
        <v>176</v>
      </c>
      <c r="H122" s="330" t="s">
        <v>63</v>
      </c>
      <c r="I122" s="114"/>
    </row>
    <row r="123" spans="2:9" s="1" customFormat="1" ht="14.4" customHeight="1" x14ac:dyDescent="0.3">
      <c r="B123" s="337" t="s">
        <v>964</v>
      </c>
      <c r="C123" s="546" t="s">
        <v>696</v>
      </c>
      <c r="D123" s="158" t="s">
        <v>166</v>
      </c>
      <c r="E123" s="330" t="s">
        <v>166</v>
      </c>
      <c r="F123" s="330" t="s">
        <v>167</v>
      </c>
      <c r="G123" s="330" t="s">
        <v>176</v>
      </c>
      <c r="H123" s="330" t="s">
        <v>63</v>
      </c>
      <c r="I123" s="114"/>
    </row>
    <row r="124" spans="2:9" s="1" customFormat="1" ht="14.4" customHeight="1" x14ac:dyDescent="0.3">
      <c r="B124" s="337" t="s">
        <v>965</v>
      </c>
      <c r="C124" s="546" t="s">
        <v>697</v>
      </c>
      <c r="D124" s="158" t="s">
        <v>166</v>
      </c>
      <c r="E124" s="330" t="s">
        <v>166</v>
      </c>
      <c r="F124" s="330" t="s">
        <v>167</v>
      </c>
      <c r="G124" s="330" t="s">
        <v>176</v>
      </c>
      <c r="H124" s="330" t="s">
        <v>63</v>
      </c>
      <c r="I124" s="114"/>
    </row>
    <row r="125" spans="2:9" s="1" customFormat="1" ht="14.4" customHeight="1" x14ac:dyDescent="0.3">
      <c r="B125" s="337" t="s">
        <v>966</v>
      </c>
      <c r="C125" s="546" t="s">
        <v>698</v>
      </c>
      <c r="D125" s="158" t="s">
        <v>166</v>
      </c>
      <c r="E125" s="330" t="s">
        <v>166</v>
      </c>
      <c r="F125" s="330" t="s">
        <v>167</v>
      </c>
      <c r="G125" s="330" t="s">
        <v>176</v>
      </c>
      <c r="H125" s="330" t="s">
        <v>63</v>
      </c>
      <c r="I125" s="114"/>
    </row>
    <row r="126" spans="2:9" s="1" customFormat="1" ht="14.4" customHeight="1" x14ac:dyDescent="0.3">
      <c r="B126" s="337" t="s">
        <v>967</v>
      </c>
      <c r="C126" s="546" t="s">
        <v>699</v>
      </c>
      <c r="D126" s="158" t="s">
        <v>166</v>
      </c>
      <c r="E126" s="330" t="s">
        <v>166</v>
      </c>
      <c r="F126" s="330" t="s">
        <v>167</v>
      </c>
      <c r="G126" s="330" t="s">
        <v>176</v>
      </c>
      <c r="H126" s="330" t="s">
        <v>63</v>
      </c>
      <c r="I126" s="114"/>
    </row>
    <row r="127" spans="2:9" s="1" customFormat="1" ht="14.4" customHeight="1" x14ac:dyDescent="0.3">
      <c r="B127" s="337" t="s">
        <v>968</v>
      </c>
      <c r="C127" s="546" t="s">
        <v>659</v>
      </c>
      <c r="D127" s="158" t="s">
        <v>166</v>
      </c>
      <c r="E127" s="330" t="s">
        <v>166</v>
      </c>
      <c r="F127" s="330" t="s">
        <v>167</v>
      </c>
      <c r="G127" s="330" t="s">
        <v>176</v>
      </c>
      <c r="H127" s="330" t="s">
        <v>63</v>
      </c>
      <c r="I127" s="114"/>
    </row>
    <row r="128" spans="2:9" s="1" customFormat="1" ht="14.4" customHeight="1" x14ac:dyDescent="0.3">
      <c r="B128" s="337" t="s">
        <v>969</v>
      </c>
      <c r="C128" s="546" t="s">
        <v>700</v>
      </c>
      <c r="D128" s="158" t="s">
        <v>166</v>
      </c>
      <c r="E128" s="330" t="s">
        <v>166</v>
      </c>
      <c r="F128" s="330" t="s">
        <v>167</v>
      </c>
      <c r="G128" s="330" t="s">
        <v>176</v>
      </c>
      <c r="H128" s="330" t="s">
        <v>63</v>
      </c>
      <c r="I128" s="114"/>
    </row>
    <row r="129" spans="2:9" s="1" customFormat="1" ht="14.4" customHeight="1" x14ac:dyDescent="0.3">
      <c r="B129" s="337" t="s">
        <v>970</v>
      </c>
      <c r="C129" s="546" t="s">
        <v>701</v>
      </c>
      <c r="D129" s="158" t="s">
        <v>166</v>
      </c>
      <c r="E129" s="330" t="s">
        <v>166</v>
      </c>
      <c r="F129" s="330" t="s">
        <v>167</v>
      </c>
      <c r="G129" s="330" t="s">
        <v>176</v>
      </c>
      <c r="H129" s="330" t="s">
        <v>63</v>
      </c>
      <c r="I129" s="114"/>
    </row>
    <row r="130" spans="2:9" s="1" customFormat="1" ht="14.4" customHeight="1" x14ac:dyDescent="0.3">
      <c r="B130" s="337" t="s">
        <v>971</v>
      </c>
      <c r="C130" s="546" t="s">
        <v>702</v>
      </c>
      <c r="D130" s="158" t="s">
        <v>166</v>
      </c>
      <c r="E130" s="330" t="s">
        <v>166</v>
      </c>
      <c r="F130" s="330" t="s">
        <v>167</v>
      </c>
      <c r="G130" s="330" t="s">
        <v>176</v>
      </c>
      <c r="H130" s="330" t="s">
        <v>63</v>
      </c>
      <c r="I130" s="114"/>
    </row>
    <row r="131" spans="2:9" s="1" customFormat="1" ht="14.4" customHeight="1" x14ac:dyDescent="0.3">
      <c r="B131" s="337" t="s">
        <v>972</v>
      </c>
      <c r="C131" s="546" t="s">
        <v>703</v>
      </c>
      <c r="D131" s="158" t="s">
        <v>166</v>
      </c>
      <c r="E131" s="330" t="s">
        <v>166</v>
      </c>
      <c r="F131" s="330" t="s">
        <v>167</v>
      </c>
      <c r="G131" s="330" t="s">
        <v>176</v>
      </c>
      <c r="H131" s="330" t="s">
        <v>63</v>
      </c>
      <c r="I131" s="114"/>
    </row>
    <row r="132" spans="2:9" s="1" customFormat="1" ht="14.4" customHeight="1" x14ac:dyDescent="0.3">
      <c r="B132" s="337" t="s">
        <v>973</v>
      </c>
      <c r="C132" s="546" t="s">
        <v>704</v>
      </c>
      <c r="D132" s="158" t="s">
        <v>166</v>
      </c>
      <c r="E132" s="330" t="s">
        <v>166</v>
      </c>
      <c r="F132" s="330" t="s">
        <v>167</v>
      </c>
      <c r="G132" s="330" t="s">
        <v>176</v>
      </c>
      <c r="H132" s="330" t="s">
        <v>63</v>
      </c>
      <c r="I132" s="114"/>
    </row>
    <row r="133" spans="2:9" s="1" customFormat="1" ht="14.4" customHeight="1" x14ac:dyDescent="0.3">
      <c r="B133" s="337" t="s">
        <v>974</v>
      </c>
      <c r="C133" s="546" t="s">
        <v>705</v>
      </c>
      <c r="D133" s="158" t="s">
        <v>166</v>
      </c>
      <c r="E133" s="330" t="s">
        <v>166</v>
      </c>
      <c r="F133" s="330" t="s">
        <v>167</v>
      </c>
      <c r="G133" s="330" t="s">
        <v>176</v>
      </c>
      <c r="H133" s="330" t="s">
        <v>63</v>
      </c>
      <c r="I133" s="114"/>
    </row>
    <row r="134" spans="2:9" s="1" customFormat="1" ht="14.4" customHeight="1" x14ac:dyDescent="0.3">
      <c r="B134" s="337" t="s">
        <v>975</v>
      </c>
      <c r="C134" s="546" t="s">
        <v>660</v>
      </c>
      <c r="D134" s="158" t="s">
        <v>166</v>
      </c>
      <c r="E134" s="330" t="s">
        <v>166</v>
      </c>
      <c r="F134" s="330" t="s">
        <v>167</v>
      </c>
      <c r="G134" s="330" t="s">
        <v>176</v>
      </c>
      <c r="H134" s="330" t="s">
        <v>63</v>
      </c>
      <c r="I134" s="114"/>
    </row>
    <row r="135" spans="2:9" s="1" customFormat="1" ht="14.4" customHeight="1" x14ac:dyDescent="0.3">
      <c r="B135" s="337" t="s">
        <v>976</v>
      </c>
      <c r="C135" s="546" t="s">
        <v>706</v>
      </c>
      <c r="D135" s="158" t="s">
        <v>166</v>
      </c>
      <c r="E135" s="330" t="s">
        <v>166</v>
      </c>
      <c r="F135" s="330" t="s">
        <v>167</v>
      </c>
      <c r="G135" s="330" t="s">
        <v>176</v>
      </c>
      <c r="H135" s="330" t="s">
        <v>63</v>
      </c>
      <c r="I135" s="114"/>
    </row>
    <row r="136" spans="2:9" s="1" customFormat="1" ht="14.4" customHeight="1" x14ac:dyDescent="0.3">
      <c r="B136" s="337" t="s">
        <v>977</v>
      </c>
      <c r="C136" s="546" t="s">
        <v>707</v>
      </c>
      <c r="D136" s="158" t="s">
        <v>166</v>
      </c>
      <c r="E136" s="330" t="s">
        <v>166</v>
      </c>
      <c r="F136" s="330" t="s">
        <v>167</v>
      </c>
      <c r="G136" s="330" t="s">
        <v>176</v>
      </c>
      <c r="H136" s="330" t="s">
        <v>63</v>
      </c>
      <c r="I136" s="114"/>
    </row>
    <row r="137" spans="2:9" s="1" customFormat="1" ht="14.4" customHeight="1" x14ac:dyDescent="0.3">
      <c r="B137" s="337" t="s">
        <v>978</v>
      </c>
      <c r="C137" s="546" t="s">
        <v>708</v>
      </c>
      <c r="D137" s="158" t="s">
        <v>166</v>
      </c>
      <c r="E137" s="330" t="s">
        <v>166</v>
      </c>
      <c r="F137" s="330" t="s">
        <v>167</v>
      </c>
      <c r="G137" s="330" t="s">
        <v>176</v>
      </c>
      <c r="H137" s="330" t="s">
        <v>63</v>
      </c>
      <c r="I137" s="114"/>
    </row>
    <row r="138" spans="2:9" s="1" customFormat="1" ht="14.4" customHeight="1" x14ac:dyDescent="0.3">
      <c r="B138" s="337" t="s">
        <v>979</v>
      </c>
      <c r="C138" s="546" t="s">
        <v>709</v>
      </c>
      <c r="D138" s="158" t="s">
        <v>166</v>
      </c>
      <c r="E138" s="330" t="s">
        <v>166</v>
      </c>
      <c r="F138" s="330" t="s">
        <v>167</v>
      </c>
      <c r="G138" s="330" t="s">
        <v>176</v>
      </c>
      <c r="H138" s="330" t="s">
        <v>63</v>
      </c>
      <c r="I138" s="114"/>
    </row>
    <row r="139" spans="2:9" s="1" customFormat="1" ht="14.4" customHeight="1" x14ac:dyDescent="0.3">
      <c r="B139" s="337" t="s">
        <v>980</v>
      </c>
      <c r="C139" s="546" t="s">
        <v>710</v>
      </c>
      <c r="D139" s="158" t="s">
        <v>166</v>
      </c>
      <c r="E139" s="330" t="s">
        <v>166</v>
      </c>
      <c r="F139" s="330" t="s">
        <v>167</v>
      </c>
      <c r="G139" s="330" t="s">
        <v>176</v>
      </c>
      <c r="H139" s="330" t="s">
        <v>63</v>
      </c>
      <c r="I139" s="114"/>
    </row>
    <row r="140" spans="2:9" s="1" customFormat="1" ht="14.4" customHeight="1" x14ac:dyDescent="0.3">
      <c r="B140" s="337" t="s">
        <v>981</v>
      </c>
      <c r="C140" s="546" t="s">
        <v>711</v>
      </c>
      <c r="D140" s="158" t="s">
        <v>166</v>
      </c>
      <c r="E140" s="330" t="s">
        <v>166</v>
      </c>
      <c r="F140" s="330" t="s">
        <v>167</v>
      </c>
      <c r="G140" s="330" t="s">
        <v>176</v>
      </c>
      <c r="H140" s="330" t="s">
        <v>63</v>
      </c>
      <c r="I140" s="114"/>
    </row>
    <row r="141" spans="2:9" s="1" customFormat="1" ht="14.4" customHeight="1" x14ac:dyDescent="0.3">
      <c r="B141" s="337" t="s">
        <v>982</v>
      </c>
      <c r="C141" s="546" t="s">
        <v>712</v>
      </c>
      <c r="D141" s="158" t="s">
        <v>166</v>
      </c>
      <c r="E141" s="330" t="s">
        <v>166</v>
      </c>
      <c r="F141" s="330" t="s">
        <v>167</v>
      </c>
      <c r="G141" s="330" t="s">
        <v>176</v>
      </c>
      <c r="H141" s="330" t="s">
        <v>63</v>
      </c>
      <c r="I141" s="114"/>
    </row>
    <row r="142" spans="2:9" s="1" customFormat="1" ht="14.4" customHeight="1" x14ac:dyDescent="0.3">
      <c r="B142" s="337" t="s">
        <v>983</v>
      </c>
      <c r="C142" s="546" t="s">
        <v>713</v>
      </c>
      <c r="D142" s="158" t="s">
        <v>166</v>
      </c>
      <c r="E142" s="330" t="s">
        <v>166</v>
      </c>
      <c r="F142" s="330" t="s">
        <v>167</v>
      </c>
      <c r="G142" s="330" t="s">
        <v>176</v>
      </c>
      <c r="H142" s="330" t="s">
        <v>63</v>
      </c>
      <c r="I142" s="114"/>
    </row>
    <row r="143" spans="2:9" s="1" customFormat="1" ht="14.4" customHeight="1" x14ac:dyDescent="0.3">
      <c r="B143" s="337" t="s">
        <v>984</v>
      </c>
      <c r="C143" s="546" t="s">
        <v>661</v>
      </c>
      <c r="D143" s="158" t="s">
        <v>166</v>
      </c>
      <c r="E143" s="330" t="s">
        <v>166</v>
      </c>
      <c r="F143" s="330" t="s">
        <v>167</v>
      </c>
      <c r="G143" s="330" t="s">
        <v>176</v>
      </c>
      <c r="H143" s="330" t="s">
        <v>63</v>
      </c>
      <c r="I143" s="114"/>
    </row>
    <row r="144" spans="2:9" s="1" customFormat="1" ht="14.4" customHeight="1" x14ac:dyDescent="0.3">
      <c r="B144" s="337" t="s">
        <v>985</v>
      </c>
      <c r="C144" s="546" t="s">
        <v>714</v>
      </c>
      <c r="D144" s="158" t="s">
        <v>166</v>
      </c>
      <c r="E144" s="330" t="s">
        <v>166</v>
      </c>
      <c r="F144" s="330" t="s">
        <v>167</v>
      </c>
      <c r="G144" s="330" t="s">
        <v>176</v>
      </c>
      <c r="H144" s="330" t="s">
        <v>63</v>
      </c>
      <c r="I144" s="114"/>
    </row>
    <row r="145" spans="2:9" s="1" customFormat="1" ht="14.4" customHeight="1" x14ac:dyDescent="0.3">
      <c r="B145" s="337" t="s">
        <v>986</v>
      </c>
      <c r="C145" s="546" t="s">
        <v>715</v>
      </c>
      <c r="D145" s="158" t="s">
        <v>166</v>
      </c>
      <c r="E145" s="330" t="s">
        <v>166</v>
      </c>
      <c r="F145" s="330" t="s">
        <v>167</v>
      </c>
      <c r="G145" s="330" t="s">
        <v>176</v>
      </c>
      <c r="H145" s="330" t="s">
        <v>63</v>
      </c>
      <c r="I145" s="114"/>
    </row>
    <row r="146" spans="2:9" s="1" customFormat="1" ht="14.4" customHeight="1" x14ac:dyDescent="0.3">
      <c r="B146" s="337" t="s">
        <v>987</v>
      </c>
      <c r="C146" s="546" t="s">
        <v>716</v>
      </c>
      <c r="D146" s="158" t="s">
        <v>166</v>
      </c>
      <c r="E146" s="330" t="s">
        <v>166</v>
      </c>
      <c r="F146" s="330" t="s">
        <v>167</v>
      </c>
      <c r="G146" s="330" t="s">
        <v>176</v>
      </c>
      <c r="H146" s="330" t="s">
        <v>63</v>
      </c>
      <c r="I146" s="114"/>
    </row>
    <row r="147" spans="2:9" s="1" customFormat="1" ht="14.4" customHeight="1" x14ac:dyDescent="0.3">
      <c r="B147" s="337" t="s">
        <v>988</v>
      </c>
      <c r="C147" s="546" t="s">
        <v>717</v>
      </c>
      <c r="D147" s="158" t="s">
        <v>166</v>
      </c>
      <c r="E147" s="330" t="s">
        <v>166</v>
      </c>
      <c r="F147" s="330" t="s">
        <v>167</v>
      </c>
      <c r="G147" s="330" t="s">
        <v>176</v>
      </c>
      <c r="H147" s="330" t="s">
        <v>63</v>
      </c>
      <c r="I147" s="114"/>
    </row>
    <row r="148" spans="2:9" s="1" customFormat="1" ht="14.4" customHeight="1" x14ac:dyDescent="0.3">
      <c r="B148" s="337" t="s">
        <v>989</v>
      </c>
      <c r="C148" s="546" t="s">
        <v>718</v>
      </c>
      <c r="D148" s="158" t="s">
        <v>166</v>
      </c>
      <c r="E148" s="330" t="s">
        <v>166</v>
      </c>
      <c r="F148" s="330" t="s">
        <v>167</v>
      </c>
      <c r="G148" s="330" t="s">
        <v>176</v>
      </c>
      <c r="H148" s="330" t="s">
        <v>63</v>
      </c>
      <c r="I148" s="114"/>
    </row>
    <row r="149" spans="2:9" s="1" customFormat="1" ht="14.4" customHeight="1" x14ac:dyDescent="0.3">
      <c r="B149" s="337" t="s">
        <v>990</v>
      </c>
      <c r="C149" s="546" t="s">
        <v>719</v>
      </c>
      <c r="D149" s="158" t="s">
        <v>166</v>
      </c>
      <c r="E149" s="330" t="s">
        <v>166</v>
      </c>
      <c r="F149" s="330" t="s">
        <v>167</v>
      </c>
      <c r="G149" s="330" t="s">
        <v>176</v>
      </c>
      <c r="H149" s="330" t="s">
        <v>63</v>
      </c>
      <c r="I149" s="114"/>
    </row>
    <row r="150" spans="2:9" s="1" customFormat="1" ht="14.4" customHeight="1" x14ac:dyDescent="0.3">
      <c r="B150" s="337" t="s">
        <v>991</v>
      </c>
      <c r="C150" s="546" t="s">
        <v>662</v>
      </c>
      <c r="D150" s="158" t="s">
        <v>166</v>
      </c>
      <c r="E150" s="330" t="s">
        <v>166</v>
      </c>
      <c r="F150" s="330" t="s">
        <v>167</v>
      </c>
      <c r="G150" s="330" t="s">
        <v>176</v>
      </c>
      <c r="H150" s="330" t="s">
        <v>63</v>
      </c>
      <c r="I150" s="114"/>
    </row>
    <row r="151" spans="2:9" s="1" customFormat="1" ht="14.4" customHeight="1" x14ac:dyDescent="0.3">
      <c r="B151" s="337" t="s">
        <v>992</v>
      </c>
      <c r="C151" s="546" t="s">
        <v>663</v>
      </c>
      <c r="D151" s="158" t="s">
        <v>166</v>
      </c>
      <c r="E151" s="330" t="s">
        <v>166</v>
      </c>
      <c r="F151" s="330" t="s">
        <v>167</v>
      </c>
      <c r="G151" s="330" t="s">
        <v>176</v>
      </c>
      <c r="H151" s="330" t="s">
        <v>63</v>
      </c>
      <c r="I151" s="114"/>
    </row>
    <row r="152" spans="2:9" s="1" customFormat="1" ht="14.4" customHeight="1" x14ac:dyDescent="0.3">
      <c r="B152" s="337" t="s">
        <v>993</v>
      </c>
      <c r="C152" s="546" t="s">
        <v>720</v>
      </c>
      <c r="D152" s="158" t="s">
        <v>166</v>
      </c>
      <c r="E152" s="330" t="s">
        <v>166</v>
      </c>
      <c r="F152" s="330" t="s">
        <v>167</v>
      </c>
      <c r="G152" s="330" t="s">
        <v>176</v>
      </c>
      <c r="H152" s="330" t="s">
        <v>63</v>
      </c>
      <c r="I152" s="114"/>
    </row>
    <row r="153" spans="2:9" s="1" customFormat="1" ht="14.4" customHeight="1" x14ac:dyDescent="0.3">
      <c r="B153" s="337" t="s">
        <v>994</v>
      </c>
      <c r="C153" s="546" t="s">
        <v>721</v>
      </c>
      <c r="D153" s="158" t="s">
        <v>166</v>
      </c>
      <c r="E153" s="330" t="s">
        <v>166</v>
      </c>
      <c r="F153" s="330" t="s">
        <v>167</v>
      </c>
      <c r="G153" s="330" t="s">
        <v>176</v>
      </c>
      <c r="H153" s="330" t="s">
        <v>63</v>
      </c>
      <c r="I153" s="114"/>
    </row>
    <row r="154" spans="2:9" s="1" customFormat="1" ht="14.4" customHeight="1" x14ac:dyDescent="0.3">
      <c r="B154" s="337" t="s">
        <v>995</v>
      </c>
      <c r="C154" s="546" t="s">
        <v>722</v>
      </c>
      <c r="D154" s="158" t="s">
        <v>166</v>
      </c>
      <c r="E154" s="330" t="s">
        <v>166</v>
      </c>
      <c r="F154" s="330" t="s">
        <v>167</v>
      </c>
      <c r="G154" s="330" t="s">
        <v>176</v>
      </c>
      <c r="H154" s="330" t="s">
        <v>63</v>
      </c>
      <c r="I154" s="114"/>
    </row>
    <row r="155" spans="2:9" s="1" customFormat="1" ht="14.4" customHeight="1" x14ac:dyDescent="0.3">
      <c r="B155" s="337" t="s">
        <v>566</v>
      </c>
      <c r="C155" s="546" t="s">
        <v>723</v>
      </c>
      <c r="D155" s="158" t="s">
        <v>166</v>
      </c>
      <c r="E155" s="330" t="s">
        <v>166</v>
      </c>
      <c r="F155" s="330" t="s">
        <v>167</v>
      </c>
      <c r="G155" s="330" t="s">
        <v>176</v>
      </c>
      <c r="H155" s="330" t="s">
        <v>63</v>
      </c>
      <c r="I155" s="114"/>
    </row>
    <row r="156" spans="2:9" s="1" customFormat="1" ht="14.4" customHeight="1" x14ac:dyDescent="0.3">
      <c r="B156" s="337" t="s">
        <v>567</v>
      </c>
      <c r="C156" s="546" t="s">
        <v>724</v>
      </c>
      <c r="D156" s="158" t="s">
        <v>166</v>
      </c>
      <c r="E156" s="330" t="s">
        <v>166</v>
      </c>
      <c r="F156" s="330" t="s">
        <v>167</v>
      </c>
      <c r="G156" s="330" t="s">
        <v>176</v>
      </c>
      <c r="H156" s="330" t="s">
        <v>63</v>
      </c>
      <c r="I156" s="114"/>
    </row>
    <row r="157" spans="2:9" s="1" customFormat="1" ht="14.4" customHeight="1" x14ac:dyDescent="0.3">
      <c r="B157" s="337" t="s">
        <v>568</v>
      </c>
      <c r="C157" s="546" t="s">
        <v>725</v>
      </c>
      <c r="D157" s="158" t="s">
        <v>166</v>
      </c>
      <c r="E157" s="330" t="s">
        <v>166</v>
      </c>
      <c r="F157" s="330" t="s">
        <v>167</v>
      </c>
      <c r="G157" s="330" t="s">
        <v>176</v>
      </c>
      <c r="H157" s="330" t="s">
        <v>63</v>
      </c>
      <c r="I157" s="114"/>
    </row>
    <row r="158" spans="2:9" s="1" customFormat="1" ht="14.4" customHeight="1" x14ac:dyDescent="0.3">
      <c r="B158" s="337" t="s">
        <v>569</v>
      </c>
      <c r="C158" s="546" t="s">
        <v>664</v>
      </c>
      <c r="D158" s="158" t="s">
        <v>166</v>
      </c>
      <c r="E158" s="330" t="s">
        <v>166</v>
      </c>
      <c r="F158" s="330" t="s">
        <v>167</v>
      </c>
      <c r="G158" s="330" t="s">
        <v>176</v>
      </c>
      <c r="H158" s="330" t="s">
        <v>63</v>
      </c>
      <c r="I158" s="114"/>
    </row>
    <row r="159" spans="2:9" s="1" customFormat="1" ht="14.4" customHeight="1" x14ac:dyDescent="0.3">
      <c r="B159" s="337" t="s">
        <v>996</v>
      </c>
      <c r="C159" s="546" t="s">
        <v>726</v>
      </c>
      <c r="D159" s="158" t="s">
        <v>166</v>
      </c>
      <c r="E159" s="330" t="s">
        <v>166</v>
      </c>
      <c r="F159" s="330" t="s">
        <v>167</v>
      </c>
      <c r="G159" s="330" t="s">
        <v>176</v>
      </c>
      <c r="H159" s="330" t="s">
        <v>63</v>
      </c>
      <c r="I159" s="114"/>
    </row>
    <row r="160" spans="2:9" s="1" customFormat="1" ht="14.4" customHeight="1" x14ac:dyDescent="0.3">
      <c r="B160" s="337" t="s">
        <v>997</v>
      </c>
      <c r="C160" s="546" t="s">
        <v>727</v>
      </c>
      <c r="D160" s="158" t="s">
        <v>166</v>
      </c>
      <c r="E160" s="330" t="s">
        <v>166</v>
      </c>
      <c r="F160" s="330" t="s">
        <v>167</v>
      </c>
      <c r="G160" s="330" t="s">
        <v>176</v>
      </c>
      <c r="H160" s="330" t="s">
        <v>63</v>
      </c>
      <c r="I160" s="114"/>
    </row>
    <row r="161" spans="2:9" s="1" customFormat="1" ht="14.4" customHeight="1" x14ac:dyDescent="0.3">
      <c r="B161" s="337" t="s">
        <v>998</v>
      </c>
      <c r="C161" s="546" t="s">
        <v>728</v>
      </c>
      <c r="D161" s="158" t="s">
        <v>166</v>
      </c>
      <c r="E161" s="330" t="s">
        <v>166</v>
      </c>
      <c r="F161" s="330" t="s">
        <v>167</v>
      </c>
      <c r="G161" s="330" t="s">
        <v>176</v>
      </c>
      <c r="H161" s="330" t="s">
        <v>63</v>
      </c>
      <c r="I161" s="114"/>
    </row>
    <row r="162" spans="2:9" s="1" customFormat="1" ht="14.4" customHeight="1" x14ac:dyDescent="0.3">
      <c r="B162" s="337" t="s">
        <v>999</v>
      </c>
      <c r="C162" s="546" t="s">
        <v>729</v>
      </c>
      <c r="D162" s="158" t="s">
        <v>166</v>
      </c>
      <c r="E162" s="330" t="s">
        <v>166</v>
      </c>
      <c r="F162" s="330" t="s">
        <v>167</v>
      </c>
      <c r="G162" s="330" t="s">
        <v>176</v>
      </c>
      <c r="H162" s="330" t="s">
        <v>63</v>
      </c>
      <c r="I162" s="114"/>
    </row>
    <row r="163" spans="2:9" s="1" customFormat="1" ht="14.4" customHeight="1" x14ac:dyDescent="0.3">
      <c r="B163" s="337" t="s">
        <v>1000</v>
      </c>
      <c r="C163" s="546" t="s">
        <v>730</v>
      </c>
      <c r="D163" s="158" t="s">
        <v>166</v>
      </c>
      <c r="E163" s="330" t="s">
        <v>166</v>
      </c>
      <c r="F163" s="330" t="s">
        <v>167</v>
      </c>
      <c r="G163" s="330" t="s">
        <v>176</v>
      </c>
      <c r="H163" s="330" t="s">
        <v>63</v>
      </c>
      <c r="I163" s="114"/>
    </row>
    <row r="164" spans="2:9" s="1" customFormat="1" ht="14.4" customHeight="1" x14ac:dyDescent="0.3">
      <c r="B164" s="337" t="s">
        <v>1001</v>
      </c>
      <c r="C164" s="546" t="s">
        <v>731</v>
      </c>
      <c r="D164" s="158" t="s">
        <v>166</v>
      </c>
      <c r="E164" s="330" t="s">
        <v>166</v>
      </c>
      <c r="F164" s="330" t="s">
        <v>167</v>
      </c>
      <c r="G164" s="330" t="s">
        <v>176</v>
      </c>
      <c r="H164" s="330" t="s">
        <v>63</v>
      </c>
      <c r="I164" s="114"/>
    </row>
    <row r="165" spans="2:9" s="1" customFormat="1" ht="14.4" customHeight="1" x14ac:dyDescent="0.3">
      <c r="B165" s="337" t="s">
        <v>1002</v>
      </c>
      <c r="C165" s="546" t="s">
        <v>732</v>
      </c>
      <c r="D165" s="158" t="s">
        <v>166</v>
      </c>
      <c r="E165" s="330" t="s">
        <v>166</v>
      </c>
      <c r="F165" s="330" t="s">
        <v>167</v>
      </c>
      <c r="G165" s="330" t="s">
        <v>176</v>
      </c>
      <c r="H165" s="330" t="s">
        <v>63</v>
      </c>
      <c r="I165" s="114"/>
    </row>
    <row r="166" spans="2:9" s="1" customFormat="1" ht="14.4" customHeight="1" x14ac:dyDescent="0.3">
      <c r="B166" s="337" t="s">
        <v>1003</v>
      </c>
      <c r="C166" s="546" t="s">
        <v>733</v>
      </c>
      <c r="D166" s="158" t="s">
        <v>166</v>
      </c>
      <c r="E166" s="330" t="s">
        <v>166</v>
      </c>
      <c r="F166" s="330" t="s">
        <v>167</v>
      </c>
      <c r="G166" s="330" t="s">
        <v>176</v>
      </c>
      <c r="H166" s="330" t="s">
        <v>63</v>
      </c>
      <c r="I166" s="114"/>
    </row>
    <row r="167" spans="2:9" s="1" customFormat="1" ht="14.4" customHeight="1" x14ac:dyDescent="0.3">
      <c r="B167" s="337" t="s">
        <v>1004</v>
      </c>
      <c r="C167" s="546" t="s">
        <v>656</v>
      </c>
      <c r="D167" s="158" t="s">
        <v>166</v>
      </c>
      <c r="E167" s="330" t="s">
        <v>166</v>
      </c>
      <c r="F167" s="330" t="s">
        <v>167</v>
      </c>
      <c r="G167" s="330" t="s">
        <v>176</v>
      </c>
      <c r="H167" s="330" t="s">
        <v>63</v>
      </c>
      <c r="I167" s="114"/>
    </row>
    <row r="168" spans="2:9" s="1" customFormat="1" ht="14.4" customHeight="1" x14ac:dyDescent="0.3">
      <c r="B168" s="337" t="s">
        <v>1005</v>
      </c>
      <c r="C168" s="546" t="s">
        <v>734</v>
      </c>
      <c r="D168" s="158" t="s">
        <v>166</v>
      </c>
      <c r="E168" s="330" t="s">
        <v>166</v>
      </c>
      <c r="F168" s="330" t="s">
        <v>167</v>
      </c>
      <c r="G168" s="330" t="s">
        <v>176</v>
      </c>
      <c r="H168" s="330" t="s">
        <v>63</v>
      </c>
      <c r="I168" s="114"/>
    </row>
    <row r="169" spans="2:9" s="1" customFormat="1" ht="14.4" customHeight="1" x14ac:dyDescent="0.3">
      <c r="B169" s="337" t="s">
        <v>1006</v>
      </c>
      <c r="C169" s="546" t="s">
        <v>735</v>
      </c>
      <c r="D169" s="158" t="s">
        <v>166</v>
      </c>
      <c r="E169" s="330" t="s">
        <v>166</v>
      </c>
      <c r="F169" s="330" t="s">
        <v>167</v>
      </c>
      <c r="G169" s="330" t="s">
        <v>176</v>
      </c>
      <c r="H169" s="330" t="s">
        <v>63</v>
      </c>
      <c r="I169" s="114"/>
    </row>
    <row r="170" spans="2:9" s="1" customFormat="1" ht="14.4" customHeight="1" x14ac:dyDescent="0.3">
      <c r="B170" s="337" t="s">
        <v>1007</v>
      </c>
      <c r="C170" s="546" t="s">
        <v>736</v>
      </c>
      <c r="D170" s="158" t="s">
        <v>166</v>
      </c>
      <c r="E170" s="330" t="s">
        <v>166</v>
      </c>
      <c r="F170" s="330" t="s">
        <v>167</v>
      </c>
      <c r="G170" s="330" t="s">
        <v>176</v>
      </c>
      <c r="H170" s="330" t="s">
        <v>63</v>
      </c>
      <c r="I170" s="114"/>
    </row>
    <row r="171" spans="2:9" s="1" customFormat="1" ht="14.4" customHeight="1" x14ac:dyDescent="0.3">
      <c r="B171" s="337" t="s">
        <v>1008</v>
      </c>
      <c r="C171" s="546" t="s">
        <v>737</v>
      </c>
      <c r="D171" s="158" t="s">
        <v>166</v>
      </c>
      <c r="E171" s="330" t="s">
        <v>166</v>
      </c>
      <c r="F171" s="330" t="s">
        <v>167</v>
      </c>
      <c r="G171" s="330" t="s">
        <v>176</v>
      </c>
      <c r="H171" s="330" t="s">
        <v>63</v>
      </c>
      <c r="I171" s="114"/>
    </row>
    <row r="172" spans="2:9" s="1" customFormat="1" ht="14.4" customHeight="1" x14ac:dyDescent="0.3">
      <c r="B172" s="337" t="s">
        <v>1009</v>
      </c>
      <c r="C172" s="546" t="s">
        <v>738</v>
      </c>
      <c r="D172" s="158" t="s">
        <v>166</v>
      </c>
      <c r="E172" s="330" t="s">
        <v>166</v>
      </c>
      <c r="F172" s="330" t="s">
        <v>167</v>
      </c>
      <c r="G172" s="330" t="s">
        <v>176</v>
      </c>
      <c r="H172" s="330" t="s">
        <v>63</v>
      </c>
      <c r="I172" s="114"/>
    </row>
    <row r="173" spans="2:9" s="1" customFormat="1" ht="14.4" customHeight="1" x14ac:dyDescent="0.3">
      <c r="B173" s="337" t="s">
        <v>1010</v>
      </c>
      <c r="C173" s="546" t="s">
        <v>739</v>
      </c>
      <c r="D173" s="158" t="s">
        <v>166</v>
      </c>
      <c r="E173" s="330" t="s">
        <v>166</v>
      </c>
      <c r="F173" s="330" t="s">
        <v>167</v>
      </c>
      <c r="G173" s="330" t="s">
        <v>176</v>
      </c>
      <c r="H173" s="330" t="s">
        <v>63</v>
      </c>
      <c r="I173" s="114"/>
    </row>
    <row r="174" spans="2:9" s="1" customFormat="1" ht="14.4" customHeight="1" x14ac:dyDescent="0.3">
      <c r="B174" s="337" t="s">
        <v>1011</v>
      </c>
      <c r="C174" s="546" t="s">
        <v>665</v>
      </c>
      <c r="D174" s="158" t="s">
        <v>166</v>
      </c>
      <c r="E174" s="330" t="s">
        <v>166</v>
      </c>
      <c r="F174" s="330" t="s">
        <v>167</v>
      </c>
      <c r="G174" s="330" t="s">
        <v>176</v>
      </c>
      <c r="H174" s="330" t="s">
        <v>63</v>
      </c>
      <c r="I174" s="114"/>
    </row>
    <row r="175" spans="2:9" s="1" customFormat="1" ht="14.4" customHeight="1" x14ac:dyDescent="0.3">
      <c r="B175" s="337" t="s">
        <v>1012</v>
      </c>
      <c r="C175" s="546" t="s">
        <v>740</v>
      </c>
      <c r="D175" s="158" t="s">
        <v>166</v>
      </c>
      <c r="E175" s="330" t="s">
        <v>166</v>
      </c>
      <c r="F175" s="330" t="s">
        <v>167</v>
      </c>
      <c r="G175" s="330" t="s">
        <v>176</v>
      </c>
      <c r="H175" s="330" t="s">
        <v>63</v>
      </c>
      <c r="I175" s="114"/>
    </row>
    <row r="176" spans="2:9" s="1" customFormat="1" ht="14.4" customHeight="1" x14ac:dyDescent="0.3">
      <c r="B176" s="337" t="s">
        <v>1013</v>
      </c>
      <c r="C176" s="546" t="s">
        <v>741</v>
      </c>
      <c r="D176" s="158" t="s">
        <v>166</v>
      </c>
      <c r="E176" s="330" t="s">
        <v>166</v>
      </c>
      <c r="F176" s="330" t="s">
        <v>167</v>
      </c>
      <c r="G176" s="330" t="s">
        <v>176</v>
      </c>
      <c r="H176" s="330" t="s">
        <v>63</v>
      </c>
      <c r="I176" s="114"/>
    </row>
    <row r="177" spans="2:9" s="1" customFormat="1" ht="14.4" customHeight="1" x14ac:dyDescent="0.3">
      <c r="B177" s="337" t="s">
        <v>1014</v>
      </c>
      <c r="C177" s="546" t="s">
        <v>742</v>
      </c>
      <c r="D177" s="158" t="s">
        <v>166</v>
      </c>
      <c r="E177" s="330" t="s">
        <v>166</v>
      </c>
      <c r="F177" s="330" t="s">
        <v>167</v>
      </c>
      <c r="G177" s="330" t="s">
        <v>176</v>
      </c>
      <c r="H177" s="330" t="s">
        <v>63</v>
      </c>
      <c r="I177" s="114"/>
    </row>
    <row r="178" spans="2:9" s="1" customFormat="1" ht="14.4" customHeight="1" x14ac:dyDescent="0.3">
      <c r="B178" s="337" t="s">
        <v>1015</v>
      </c>
      <c r="C178" s="546" t="s">
        <v>743</v>
      </c>
      <c r="D178" s="158" t="s">
        <v>166</v>
      </c>
      <c r="E178" s="330" t="s">
        <v>166</v>
      </c>
      <c r="F178" s="330" t="s">
        <v>167</v>
      </c>
      <c r="G178" s="330" t="s">
        <v>176</v>
      </c>
      <c r="H178" s="330" t="s">
        <v>63</v>
      </c>
      <c r="I178" s="114"/>
    </row>
    <row r="179" spans="2:9" s="1" customFormat="1" ht="14.4" customHeight="1" x14ac:dyDescent="0.3">
      <c r="B179" s="337" t="s">
        <v>1016</v>
      </c>
      <c r="C179" s="546" t="s">
        <v>744</v>
      </c>
      <c r="D179" s="158" t="s">
        <v>166</v>
      </c>
      <c r="E179" s="330" t="s">
        <v>166</v>
      </c>
      <c r="F179" s="330" t="s">
        <v>167</v>
      </c>
      <c r="G179" s="330" t="s">
        <v>176</v>
      </c>
      <c r="H179" s="330" t="s">
        <v>63</v>
      </c>
      <c r="I179" s="114"/>
    </row>
    <row r="180" spans="2:9" s="1" customFormat="1" ht="14.4" customHeight="1" x14ac:dyDescent="0.3">
      <c r="B180" s="337" t="s">
        <v>1017</v>
      </c>
      <c r="C180" s="546" t="s">
        <v>745</v>
      </c>
      <c r="D180" s="158" t="s">
        <v>166</v>
      </c>
      <c r="E180" s="330" t="s">
        <v>166</v>
      </c>
      <c r="F180" s="330" t="s">
        <v>167</v>
      </c>
      <c r="G180" s="330" t="s">
        <v>176</v>
      </c>
      <c r="H180" s="330" t="s">
        <v>63</v>
      </c>
      <c r="I180" s="114"/>
    </row>
    <row r="181" spans="2:9" s="1" customFormat="1" ht="14.4" customHeight="1" x14ac:dyDescent="0.3">
      <c r="B181" s="337" t="s">
        <v>586</v>
      </c>
      <c r="C181" s="546" t="s">
        <v>746</v>
      </c>
      <c r="D181" s="158" t="s">
        <v>166</v>
      </c>
      <c r="E181" s="330" t="s">
        <v>166</v>
      </c>
      <c r="F181" s="330" t="s">
        <v>167</v>
      </c>
      <c r="G181" s="330" t="s">
        <v>176</v>
      </c>
      <c r="H181" s="330" t="s">
        <v>63</v>
      </c>
      <c r="I181" s="114"/>
    </row>
    <row r="182" spans="2:9" s="1" customFormat="1" ht="14.4" customHeight="1" x14ac:dyDescent="0.3">
      <c r="B182" s="337" t="s">
        <v>588</v>
      </c>
      <c r="C182" s="546" t="s">
        <v>747</v>
      </c>
      <c r="D182" s="158" t="s">
        <v>166</v>
      </c>
      <c r="E182" s="330" t="s">
        <v>166</v>
      </c>
      <c r="F182" s="330" t="s">
        <v>167</v>
      </c>
      <c r="G182" s="330" t="s">
        <v>176</v>
      </c>
      <c r="H182" s="330" t="s">
        <v>63</v>
      </c>
      <c r="I182" s="114"/>
    </row>
    <row r="183" spans="2:9" s="1" customFormat="1" ht="14.4" customHeight="1" x14ac:dyDescent="0.3">
      <c r="B183" s="337" t="s">
        <v>590</v>
      </c>
      <c r="C183" s="546" t="s">
        <v>666</v>
      </c>
      <c r="D183" s="158" t="s">
        <v>166</v>
      </c>
      <c r="E183" s="330" t="s">
        <v>166</v>
      </c>
      <c r="F183" s="330" t="s">
        <v>167</v>
      </c>
      <c r="G183" s="330" t="s">
        <v>176</v>
      </c>
      <c r="H183" s="330" t="s">
        <v>63</v>
      </c>
      <c r="I183" s="114"/>
    </row>
    <row r="184" spans="2:9" s="1" customFormat="1" ht="14.4" customHeight="1" x14ac:dyDescent="0.3">
      <c r="B184" s="337" t="s">
        <v>592</v>
      </c>
      <c r="C184" s="546" t="s">
        <v>748</v>
      </c>
      <c r="D184" s="158" t="s">
        <v>166</v>
      </c>
      <c r="E184" s="330" t="s">
        <v>166</v>
      </c>
      <c r="F184" s="330" t="s">
        <v>167</v>
      </c>
      <c r="G184" s="330" t="s">
        <v>176</v>
      </c>
      <c r="H184" s="330" t="s">
        <v>63</v>
      </c>
      <c r="I184" s="114"/>
    </row>
    <row r="185" spans="2:9" s="1" customFormat="1" ht="14.4" customHeight="1" x14ac:dyDescent="0.3">
      <c r="B185" s="337" t="s">
        <v>594</v>
      </c>
      <c r="C185" s="546" t="s">
        <v>749</v>
      </c>
      <c r="D185" s="158" t="s">
        <v>166</v>
      </c>
      <c r="E185" s="330" t="s">
        <v>166</v>
      </c>
      <c r="F185" s="330" t="s">
        <v>167</v>
      </c>
      <c r="G185" s="330" t="s">
        <v>176</v>
      </c>
      <c r="H185" s="330" t="s">
        <v>63</v>
      </c>
      <c r="I185" s="114"/>
    </row>
    <row r="186" spans="2:9" s="1" customFormat="1" ht="14.4" customHeight="1" x14ac:dyDescent="0.3">
      <c r="B186" s="337" t="s">
        <v>596</v>
      </c>
      <c r="C186" s="546" t="s">
        <v>750</v>
      </c>
      <c r="D186" s="158" t="s">
        <v>166</v>
      </c>
      <c r="E186" s="330" t="s">
        <v>166</v>
      </c>
      <c r="F186" s="330" t="s">
        <v>167</v>
      </c>
      <c r="G186" s="330" t="s">
        <v>176</v>
      </c>
      <c r="H186" s="330" t="s">
        <v>63</v>
      </c>
      <c r="I186" s="114"/>
    </row>
    <row r="187" spans="2:9" s="1" customFormat="1" ht="14.4" customHeight="1" x14ac:dyDescent="0.3">
      <c r="B187" s="337" t="s">
        <v>598</v>
      </c>
      <c r="C187" s="546" t="s">
        <v>751</v>
      </c>
      <c r="D187" s="158" t="s">
        <v>166</v>
      </c>
      <c r="E187" s="330" t="s">
        <v>166</v>
      </c>
      <c r="F187" s="330" t="s">
        <v>167</v>
      </c>
      <c r="G187" s="330" t="s">
        <v>176</v>
      </c>
      <c r="H187" s="330" t="s">
        <v>63</v>
      </c>
      <c r="I187" s="114"/>
    </row>
    <row r="188" spans="2:9" s="1" customFormat="1" ht="14.4" customHeight="1" x14ac:dyDescent="0.3">
      <c r="B188" s="337" t="s">
        <v>600</v>
      </c>
      <c r="C188" s="546" t="s">
        <v>752</v>
      </c>
      <c r="D188" s="158" t="s">
        <v>166</v>
      </c>
      <c r="E188" s="330" t="s">
        <v>166</v>
      </c>
      <c r="F188" s="330" t="s">
        <v>167</v>
      </c>
      <c r="G188" s="330" t="s">
        <v>176</v>
      </c>
      <c r="H188" s="330" t="s">
        <v>63</v>
      </c>
      <c r="I188" s="114"/>
    </row>
    <row r="189" spans="2:9" s="1" customFormat="1" ht="14.4" customHeight="1" x14ac:dyDescent="0.3">
      <c r="B189" s="337" t="s">
        <v>601</v>
      </c>
      <c r="C189" s="546" t="s">
        <v>753</v>
      </c>
      <c r="D189" s="158" t="s">
        <v>166</v>
      </c>
      <c r="E189" s="330" t="s">
        <v>166</v>
      </c>
      <c r="F189" s="330" t="s">
        <v>167</v>
      </c>
      <c r="G189" s="330" t="s">
        <v>176</v>
      </c>
      <c r="H189" s="330" t="s">
        <v>63</v>
      </c>
      <c r="I189" s="114"/>
    </row>
    <row r="190" spans="2:9" s="1" customFormat="1" ht="14.4" customHeight="1" x14ac:dyDescent="0.3">
      <c r="B190" s="337" t="s">
        <v>603</v>
      </c>
      <c r="C190" s="546" t="s">
        <v>667</v>
      </c>
      <c r="D190" s="158" t="s">
        <v>166</v>
      </c>
      <c r="E190" s="330" t="s">
        <v>166</v>
      </c>
      <c r="F190" s="330" t="s">
        <v>167</v>
      </c>
      <c r="G190" s="330" t="s">
        <v>176</v>
      </c>
      <c r="H190" s="330" t="s">
        <v>63</v>
      </c>
      <c r="I190" s="114"/>
    </row>
    <row r="191" spans="2:9" s="1" customFormat="1" ht="14.4" customHeight="1" x14ac:dyDescent="0.3">
      <c r="B191" s="337" t="s">
        <v>605</v>
      </c>
      <c r="C191" s="546" t="s">
        <v>754</v>
      </c>
      <c r="D191" s="158" t="s">
        <v>166</v>
      </c>
      <c r="E191" s="330" t="s">
        <v>166</v>
      </c>
      <c r="F191" s="330" t="s">
        <v>167</v>
      </c>
      <c r="G191" s="330" t="s">
        <v>176</v>
      </c>
      <c r="H191" s="330" t="s">
        <v>63</v>
      </c>
      <c r="I191" s="114"/>
    </row>
    <row r="192" spans="2:9" s="1" customFormat="1" ht="14.4" customHeight="1" x14ac:dyDescent="0.3">
      <c r="B192" s="337" t="s">
        <v>606</v>
      </c>
      <c r="C192" s="546" t="s">
        <v>755</v>
      </c>
      <c r="D192" s="158" t="s">
        <v>166</v>
      </c>
      <c r="E192" s="330" t="s">
        <v>166</v>
      </c>
      <c r="F192" s="330" t="s">
        <v>167</v>
      </c>
      <c r="G192" s="330" t="s">
        <v>176</v>
      </c>
      <c r="H192" s="330" t="s">
        <v>63</v>
      </c>
      <c r="I192" s="114"/>
    </row>
    <row r="193" spans="2:9" s="1" customFormat="1" ht="14.4" customHeight="1" x14ac:dyDescent="0.3">
      <c r="B193" s="337" t="s">
        <v>607</v>
      </c>
      <c r="C193" s="546" t="s">
        <v>756</v>
      </c>
      <c r="D193" s="158" t="s">
        <v>166</v>
      </c>
      <c r="E193" s="330" t="s">
        <v>166</v>
      </c>
      <c r="F193" s="330" t="s">
        <v>167</v>
      </c>
      <c r="G193" s="330" t="s">
        <v>176</v>
      </c>
      <c r="H193" s="330" t="s">
        <v>63</v>
      </c>
      <c r="I193" s="114"/>
    </row>
    <row r="194" spans="2:9" s="1" customFormat="1" ht="14.4" customHeight="1" x14ac:dyDescent="0.3">
      <c r="B194" s="337" t="s">
        <v>608</v>
      </c>
      <c r="C194" s="546" t="s">
        <v>757</v>
      </c>
      <c r="D194" s="158" t="s">
        <v>166</v>
      </c>
      <c r="E194" s="330" t="s">
        <v>166</v>
      </c>
      <c r="F194" s="330" t="s">
        <v>167</v>
      </c>
      <c r="G194" s="330" t="s">
        <v>176</v>
      </c>
      <c r="H194" s="330" t="s">
        <v>63</v>
      </c>
      <c r="I194" s="114"/>
    </row>
    <row r="195" spans="2:9" s="1" customFormat="1" ht="14.4" customHeight="1" x14ac:dyDescent="0.3">
      <c r="B195" s="337" t="s">
        <v>609</v>
      </c>
      <c r="C195" s="546" t="s">
        <v>758</v>
      </c>
      <c r="D195" s="158" t="s">
        <v>166</v>
      </c>
      <c r="E195" s="330" t="s">
        <v>166</v>
      </c>
      <c r="F195" s="330" t="s">
        <v>167</v>
      </c>
      <c r="G195" s="330" t="s">
        <v>176</v>
      </c>
      <c r="H195" s="330" t="s">
        <v>63</v>
      </c>
      <c r="I195" s="114"/>
    </row>
    <row r="196" spans="2:9" s="1" customFormat="1" ht="14.4" customHeight="1" x14ac:dyDescent="0.3">
      <c r="B196" s="337" t="s">
        <v>610</v>
      </c>
      <c r="C196" s="546" t="s">
        <v>759</v>
      </c>
      <c r="D196" s="158" t="s">
        <v>166</v>
      </c>
      <c r="E196" s="330" t="s">
        <v>166</v>
      </c>
      <c r="F196" s="330" t="s">
        <v>167</v>
      </c>
      <c r="G196" s="330" t="s">
        <v>176</v>
      </c>
      <c r="H196" s="330" t="s">
        <v>63</v>
      </c>
      <c r="I196" s="114"/>
    </row>
    <row r="197" spans="2:9" s="1" customFormat="1" ht="14.4" customHeight="1" x14ac:dyDescent="0.3">
      <c r="B197" s="337" t="s">
        <v>611</v>
      </c>
      <c r="C197" s="546" t="s">
        <v>760</v>
      </c>
      <c r="D197" s="158" t="s">
        <v>166</v>
      </c>
      <c r="E197" s="330" t="s">
        <v>166</v>
      </c>
      <c r="F197" s="330" t="s">
        <v>167</v>
      </c>
      <c r="G197" s="330" t="s">
        <v>176</v>
      </c>
      <c r="H197" s="330" t="s">
        <v>63</v>
      </c>
      <c r="I197" s="114"/>
    </row>
    <row r="198" spans="2:9" s="1" customFormat="1" ht="14.4" customHeight="1" x14ac:dyDescent="0.3">
      <c r="B198" s="337" t="s">
        <v>613</v>
      </c>
      <c r="C198" s="546" t="s">
        <v>761</v>
      </c>
      <c r="D198" s="158" t="s">
        <v>166</v>
      </c>
      <c r="E198" s="330" t="s">
        <v>166</v>
      </c>
      <c r="F198" s="330" t="s">
        <v>167</v>
      </c>
      <c r="G198" s="330" t="s">
        <v>176</v>
      </c>
      <c r="H198" s="330" t="s">
        <v>63</v>
      </c>
      <c r="I198" s="114"/>
    </row>
    <row r="199" spans="2:9" s="1" customFormat="1" ht="14.4" customHeight="1" x14ac:dyDescent="0.3">
      <c r="B199" s="337" t="s">
        <v>615</v>
      </c>
      <c r="C199" s="546" t="s">
        <v>668</v>
      </c>
      <c r="D199" s="158" t="s">
        <v>166</v>
      </c>
      <c r="E199" s="330" t="s">
        <v>166</v>
      </c>
      <c r="F199" s="330" t="s">
        <v>167</v>
      </c>
      <c r="G199" s="330" t="s">
        <v>176</v>
      </c>
      <c r="H199" s="330" t="s">
        <v>63</v>
      </c>
      <c r="I199" s="114"/>
    </row>
    <row r="200" spans="2:9" s="1" customFormat="1" ht="14.4" customHeight="1" x14ac:dyDescent="0.3">
      <c r="B200" s="337" t="s">
        <v>617</v>
      </c>
      <c r="C200" s="546" t="s">
        <v>762</v>
      </c>
      <c r="D200" s="158" t="s">
        <v>166</v>
      </c>
      <c r="E200" s="330" t="s">
        <v>166</v>
      </c>
      <c r="F200" s="330" t="s">
        <v>167</v>
      </c>
      <c r="G200" s="330" t="s">
        <v>176</v>
      </c>
      <c r="H200" s="330" t="s">
        <v>63</v>
      </c>
      <c r="I200" s="114"/>
    </row>
    <row r="201" spans="2:9" s="1" customFormat="1" ht="14.4" customHeight="1" x14ac:dyDescent="0.3">
      <c r="B201" s="337" t="s">
        <v>620</v>
      </c>
      <c r="C201" s="546" t="s">
        <v>763</v>
      </c>
      <c r="D201" s="158" t="s">
        <v>166</v>
      </c>
      <c r="E201" s="330" t="s">
        <v>166</v>
      </c>
      <c r="F201" s="330" t="s">
        <v>167</v>
      </c>
      <c r="G201" s="330" t="s">
        <v>176</v>
      </c>
      <c r="H201" s="330" t="s">
        <v>63</v>
      </c>
      <c r="I201" s="114"/>
    </row>
    <row r="202" spans="2:9" s="1" customFormat="1" ht="14.4" customHeight="1" x14ac:dyDescent="0.3">
      <c r="B202" s="337" t="s">
        <v>621</v>
      </c>
      <c r="C202" s="546" t="s">
        <v>764</v>
      </c>
      <c r="D202" s="158" t="s">
        <v>166</v>
      </c>
      <c r="E202" s="330" t="s">
        <v>166</v>
      </c>
      <c r="F202" s="330" t="s">
        <v>167</v>
      </c>
      <c r="G202" s="330" t="s">
        <v>176</v>
      </c>
      <c r="H202" s="330" t="s">
        <v>63</v>
      </c>
      <c r="I202" s="114"/>
    </row>
    <row r="203" spans="2:9" s="1" customFormat="1" ht="14.4" customHeight="1" x14ac:dyDescent="0.3">
      <c r="B203" s="337" t="s">
        <v>622</v>
      </c>
      <c r="C203" s="546" t="s">
        <v>765</v>
      </c>
      <c r="D203" s="158" t="s">
        <v>166</v>
      </c>
      <c r="E203" s="330" t="s">
        <v>166</v>
      </c>
      <c r="F203" s="330" t="s">
        <v>167</v>
      </c>
      <c r="G203" s="330" t="s">
        <v>176</v>
      </c>
      <c r="H203" s="330" t="s">
        <v>63</v>
      </c>
      <c r="I203" s="114"/>
    </row>
    <row r="204" spans="2:9" s="1" customFormat="1" ht="14.4" customHeight="1" x14ac:dyDescent="0.3">
      <c r="B204" s="337" t="s">
        <v>623</v>
      </c>
      <c r="C204" s="546" t="s">
        <v>766</v>
      </c>
      <c r="D204" s="158" t="s">
        <v>166</v>
      </c>
      <c r="E204" s="330" t="s">
        <v>166</v>
      </c>
      <c r="F204" s="330" t="s">
        <v>167</v>
      </c>
      <c r="G204" s="330" t="s">
        <v>176</v>
      </c>
      <c r="H204" s="330" t="s">
        <v>63</v>
      </c>
      <c r="I204" s="114"/>
    </row>
    <row r="205" spans="2:9" s="1" customFormat="1" ht="14.4" customHeight="1" x14ac:dyDescent="0.3">
      <c r="B205" s="337" t="s">
        <v>624</v>
      </c>
      <c r="C205" s="546" t="s">
        <v>767</v>
      </c>
      <c r="D205" s="158" t="s">
        <v>166</v>
      </c>
      <c r="E205" s="330" t="s">
        <v>166</v>
      </c>
      <c r="F205" s="330" t="s">
        <v>167</v>
      </c>
      <c r="G205" s="330" t="s">
        <v>176</v>
      </c>
      <c r="H205" s="330" t="s">
        <v>63</v>
      </c>
      <c r="I205" s="114"/>
    </row>
    <row r="206" spans="2:9" s="1" customFormat="1" ht="14.4" customHeight="1" x14ac:dyDescent="0.3">
      <c r="B206" s="337" t="s">
        <v>625</v>
      </c>
      <c r="C206" s="546" t="s">
        <v>669</v>
      </c>
      <c r="D206" s="158" t="s">
        <v>166</v>
      </c>
      <c r="E206" s="330" t="s">
        <v>166</v>
      </c>
      <c r="F206" s="330" t="s">
        <v>167</v>
      </c>
      <c r="G206" s="330" t="s">
        <v>176</v>
      </c>
      <c r="H206" s="330" t="s">
        <v>63</v>
      </c>
      <c r="I206" s="114"/>
    </row>
    <row r="207" spans="2:9" s="1" customFormat="1" ht="14.4" customHeight="1" x14ac:dyDescent="0.3">
      <c r="B207" s="337" t="s">
        <v>626</v>
      </c>
      <c r="C207" s="546" t="s">
        <v>768</v>
      </c>
      <c r="D207" s="158" t="s">
        <v>166</v>
      </c>
      <c r="E207" s="330" t="s">
        <v>166</v>
      </c>
      <c r="F207" s="330" t="s">
        <v>167</v>
      </c>
      <c r="G207" s="330" t="s">
        <v>176</v>
      </c>
      <c r="H207" s="330" t="s">
        <v>63</v>
      </c>
      <c r="I207" s="114"/>
    </row>
    <row r="208" spans="2:9" s="1" customFormat="1" ht="14.4" customHeight="1" x14ac:dyDescent="0.3">
      <c r="B208" s="337" t="s">
        <v>627</v>
      </c>
      <c r="C208" s="546" t="s">
        <v>769</v>
      </c>
      <c r="D208" s="158" t="s">
        <v>166</v>
      </c>
      <c r="E208" s="330" t="s">
        <v>166</v>
      </c>
      <c r="F208" s="330" t="s">
        <v>167</v>
      </c>
      <c r="G208" s="330" t="s">
        <v>176</v>
      </c>
      <c r="H208" s="330" t="s">
        <v>63</v>
      </c>
      <c r="I208" s="114"/>
    </row>
    <row r="209" spans="2:9" s="1" customFormat="1" ht="14.4" customHeight="1" x14ac:dyDescent="0.3">
      <c r="B209" s="337" t="s">
        <v>628</v>
      </c>
      <c r="C209" s="546" t="s">
        <v>770</v>
      </c>
      <c r="D209" s="158" t="s">
        <v>166</v>
      </c>
      <c r="E209" s="330" t="s">
        <v>166</v>
      </c>
      <c r="F209" s="330" t="s">
        <v>167</v>
      </c>
      <c r="G209" s="330" t="s">
        <v>176</v>
      </c>
      <c r="H209" s="330" t="s">
        <v>63</v>
      </c>
      <c r="I209" s="114"/>
    </row>
    <row r="210" spans="2:9" s="1" customFormat="1" ht="14.4" customHeight="1" x14ac:dyDescent="0.3">
      <c r="B210" s="337" t="s">
        <v>629</v>
      </c>
      <c r="C210" s="546" t="s">
        <v>771</v>
      </c>
      <c r="D210" s="158" t="s">
        <v>166</v>
      </c>
      <c r="E210" s="330" t="s">
        <v>166</v>
      </c>
      <c r="F210" s="330" t="s">
        <v>167</v>
      </c>
      <c r="G210" s="330" t="s">
        <v>176</v>
      </c>
      <c r="H210" s="330" t="s">
        <v>63</v>
      </c>
      <c r="I210" s="114"/>
    </row>
    <row r="211" spans="2:9" s="1" customFormat="1" ht="14.4" customHeight="1" x14ac:dyDescent="0.3">
      <c r="B211" s="337" t="s">
        <v>630</v>
      </c>
      <c r="C211" s="546" t="s">
        <v>772</v>
      </c>
      <c r="D211" s="158" t="s">
        <v>166</v>
      </c>
      <c r="E211" s="330" t="s">
        <v>166</v>
      </c>
      <c r="F211" s="330" t="s">
        <v>167</v>
      </c>
      <c r="G211" s="330" t="s">
        <v>176</v>
      </c>
      <c r="H211" s="330" t="s">
        <v>63</v>
      </c>
      <c r="I211" s="114"/>
    </row>
    <row r="212" spans="2:9" s="1" customFormat="1" ht="14.4" customHeight="1" x14ac:dyDescent="0.3">
      <c r="B212" s="337" t="s">
        <v>631</v>
      </c>
      <c r="C212" s="546" t="s">
        <v>773</v>
      </c>
      <c r="D212" s="158" t="s">
        <v>166</v>
      </c>
      <c r="E212" s="330" t="s">
        <v>166</v>
      </c>
      <c r="F212" s="330" t="s">
        <v>167</v>
      </c>
      <c r="G212" s="330" t="s">
        <v>176</v>
      </c>
      <c r="H212" s="330" t="s">
        <v>63</v>
      </c>
      <c r="I212" s="114"/>
    </row>
    <row r="213" spans="2:9" s="1" customFormat="1" ht="14.4" customHeight="1" x14ac:dyDescent="0.3">
      <c r="B213" s="337" t="s">
        <v>1018</v>
      </c>
      <c r="C213" s="546" t="s">
        <v>774</v>
      </c>
      <c r="D213" s="158" t="s">
        <v>166</v>
      </c>
      <c r="E213" s="330" t="s">
        <v>166</v>
      </c>
      <c r="F213" s="330" t="s">
        <v>167</v>
      </c>
      <c r="G213" s="330" t="s">
        <v>176</v>
      </c>
      <c r="H213" s="330" t="s">
        <v>63</v>
      </c>
      <c r="I213" s="114"/>
    </row>
    <row r="214" spans="2:9" s="1" customFormat="1" ht="14.4" customHeight="1" x14ac:dyDescent="0.3">
      <c r="B214" s="337" t="s">
        <v>1019</v>
      </c>
      <c r="C214" s="546" t="s">
        <v>775</v>
      </c>
      <c r="D214" s="158" t="s">
        <v>166</v>
      </c>
      <c r="E214" s="330" t="s">
        <v>166</v>
      </c>
      <c r="F214" s="330" t="s">
        <v>167</v>
      </c>
      <c r="G214" s="330" t="s">
        <v>176</v>
      </c>
      <c r="H214" s="330" t="s">
        <v>63</v>
      </c>
      <c r="I214" s="114"/>
    </row>
    <row r="215" spans="2:9" s="1" customFormat="1" ht="14.4" customHeight="1" x14ac:dyDescent="0.3">
      <c r="B215" s="337" t="s">
        <v>1020</v>
      </c>
      <c r="C215" s="546" t="s">
        <v>776</v>
      </c>
      <c r="D215" s="158" t="s">
        <v>166</v>
      </c>
      <c r="E215" s="330" t="s">
        <v>166</v>
      </c>
      <c r="F215" s="330" t="s">
        <v>167</v>
      </c>
      <c r="G215" s="330" t="s">
        <v>176</v>
      </c>
      <c r="H215" s="330" t="s">
        <v>63</v>
      </c>
      <c r="I215" s="114"/>
    </row>
    <row r="216" spans="2:9" s="1" customFormat="1" ht="14.4" customHeight="1" x14ac:dyDescent="0.3">
      <c r="B216" s="337" t="s">
        <v>1021</v>
      </c>
      <c r="C216" s="546" t="s">
        <v>777</v>
      </c>
      <c r="D216" s="158" t="s">
        <v>166</v>
      </c>
      <c r="E216" s="330" t="s">
        <v>166</v>
      </c>
      <c r="F216" s="330" t="s">
        <v>167</v>
      </c>
      <c r="G216" s="330" t="s">
        <v>176</v>
      </c>
      <c r="H216" s="330" t="s">
        <v>63</v>
      </c>
      <c r="I216" s="114"/>
    </row>
    <row r="217" spans="2:9" s="1" customFormat="1" ht="14.4" customHeight="1" x14ac:dyDescent="0.3">
      <c r="B217" s="337" t="s">
        <v>1022</v>
      </c>
      <c r="C217" s="546" t="s">
        <v>778</v>
      </c>
      <c r="D217" s="158" t="s">
        <v>166</v>
      </c>
      <c r="E217" s="330" t="s">
        <v>166</v>
      </c>
      <c r="F217" s="330" t="s">
        <v>167</v>
      </c>
      <c r="G217" s="330" t="s">
        <v>176</v>
      </c>
      <c r="H217" s="330" t="s">
        <v>63</v>
      </c>
      <c r="I217" s="114"/>
    </row>
    <row r="218" spans="2:9" s="1" customFormat="1" ht="14.4" customHeight="1" x14ac:dyDescent="0.3">
      <c r="B218" s="337" t="s">
        <v>1023</v>
      </c>
      <c r="C218" s="546" t="s">
        <v>779</v>
      </c>
      <c r="D218" s="158" t="s">
        <v>166</v>
      </c>
      <c r="E218" s="330" t="s">
        <v>166</v>
      </c>
      <c r="F218" s="330" t="s">
        <v>167</v>
      </c>
      <c r="G218" s="330" t="s">
        <v>176</v>
      </c>
      <c r="H218" s="330" t="s">
        <v>63</v>
      </c>
      <c r="I218" s="114"/>
    </row>
    <row r="219" spans="2:9" s="1" customFormat="1" ht="14.4" customHeight="1" x14ac:dyDescent="0.3">
      <c r="B219" s="337" t="s">
        <v>1024</v>
      </c>
      <c r="C219" s="546" t="s">
        <v>780</v>
      </c>
      <c r="D219" s="158" t="s">
        <v>166</v>
      </c>
      <c r="E219" s="330" t="s">
        <v>166</v>
      </c>
      <c r="F219" s="330" t="s">
        <v>167</v>
      </c>
      <c r="G219" s="330" t="s">
        <v>176</v>
      </c>
      <c r="H219" s="330" t="s">
        <v>63</v>
      </c>
      <c r="I219" s="114"/>
    </row>
    <row r="220" spans="2:9" s="1" customFormat="1" ht="14.4" customHeight="1" x14ac:dyDescent="0.3">
      <c r="B220" s="337" t="s">
        <v>1025</v>
      </c>
      <c r="C220" s="546" t="s">
        <v>781</v>
      </c>
      <c r="D220" s="158" t="s">
        <v>166</v>
      </c>
      <c r="E220" s="330" t="s">
        <v>166</v>
      </c>
      <c r="F220" s="330" t="s">
        <v>167</v>
      </c>
      <c r="G220" s="330" t="s">
        <v>176</v>
      </c>
      <c r="H220" s="330" t="s">
        <v>63</v>
      </c>
      <c r="I220" s="114"/>
    </row>
    <row r="221" spans="2:9" s="1" customFormat="1" ht="14.4" customHeight="1" x14ac:dyDescent="0.3">
      <c r="B221" s="337" t="s">
        <v>1026</v>
      </c>
      <c r="C221" s="546" t="s">
        <v>782</v>
      </c>
      <c r="D221" s="158" t="s">
        <v>166</v>
      </c>
      <c r="E221" s="330" t="s">
        <v>166</v>
      </c>
      <c r="F221" s="330" t="s">
        <v>167</v>
      </c>
      <c r="G221" s="330" t="s">
        <v>176</v>
      </c>
      <c r="H221" s="330" t="s">
        <v>63</v>
      </c>
      <c r="I221" s="114"/>
    </row>
    <row r="222" spans="2:9" s="1" customFormat="1" ht="14.4" customHeight="1" x14ac:dyDescent="0.3">
      <c r="B222" s="337" t="s">
        <v>1027</v>
      </c>
      <c r="C222" s="546" t="s">
        <v>783</v>
      </c>
      <c r="D222" s="158" t="s">
        <v>166</v>
      </c>
      <c r="E222" s="330" t="s">
        <v>166</v>
      </c>
      <c r="F222" s="330" t="s">
        <v>167</v>
      </c>
      <c r="G222" s="330" t="s">
        <v>176</v>
      </c>
      <c r="H222" s="330" t="s">
        <v>63</v>
      </c>
      <c r="I222" s="114"/>
    </row>
    <row r="223" spans="2:9" s="1" customFormat="1" ht="14.4" customHeight="1" x14ac:dyDescent="0.3">
      <c r="B223" s="337" t="s">
        <v>1028</v>
      </c>
      <c r="C223" s="546" t="s">
        <v>784</v>
      </c>
      <c r="D223" s="158" t="s">
        <v>166</v>
      </c>
      <c r="E223" s="330" t="s">
        <v>166</v>
      </c>
      <c r="F223" s="330" t="s">
        <v>167</v>
      </c>
      <c r="G223" s="330" t="s">
        <v>176</v>
      </c>
      <c r="H223" s="330" t="s">
        <v>63</v>
      </c>
      <c r="I223" s="114"/>
    </row>
    <row r="224" spans="2:9" s="1" customFormat="1" ht="14.4" customHeight="1" x14ac:dyDescent="0.3">
      <c r="B224" s="337" t="s">
        <v>1029</v>
      </c>
      <c r="C224" s="546" t="s">
        <v>785</v>
      </c>
      <c r="D224" s="158" t="s">
        <v>166</v>
      </c>
      <c r="E224" s="330" t="s">
        <v>166</v>
      </c>
      <c r="F224" s="330" t="s">
        <v>167</v>
      </c>
      <c r="G224" s="330" t="s">
        <v>176</v>
      </c>
      <c r="H224" s="330" t="s">
        <v>63</v>
      </c>
      <c r="I224" s="114"/>
    </row>
    <row r="225" spans="2:9" s="1" customFormat="1" ht="14.4" customHeight="1" x14ac:dyDescent="0.3">
      <c r="B225" s="337" t="s">
        <v>1030</v>
      </c>
      <c r="C225" s="546" t="s">
        <v>786</v>
      </c>
      <c r="D225" s="158" t="s">
        <v>166</v>
      </c>
      <c r="E225" s="330" t="s">
        <v>166</v>
      </c>
      <c r="F225" s="330" t="s">
        <v>167</v>
      </c>
      <c r="G225" s="330" t="s">
        <v>176</v>
      </c>
      <c r="H225" s="330" t="s">
        <v>63</v>
      </c>
      <c r="I225" s="114"/>
    </row>
    <row r="226" spans="2:9" s="1" customFormat="1" ht="14.4" customHeight="1" x14ac:dyDescent="0.3">
      <c r="B226" s="337" t="s">
        <v>1031</v>
      </c>
      <c r="C226" s="546" t="s">
        <v>787</v>
      </c>
      <c r="D226" s="158" t="s">
        <v>166</v>
      </c>
      <c r="E226" s="330" t="s">
        <v>166</v>
      </c>
      <c r="F226" s="330" t="s">
        <v>167</v>
      </c>
      <c r="G226" s="330" t="s">
        <v>176</v>
      </c>
      <c r="H226" s="330" t="s">
        <v>63</v>
      </c>
      <c r="I226" s="114"/>
    </row>
    <row r="227" spans="2:9" s="1" customFormat="1" ht="14.4" customHeight="1" x14ac:dyDescent="0.3">
      <c r="B227" s="337" t="s">
        <v>1032</v>
      </c>
      <c r="C227" s="546" t="s">
        <v>788</v>
      </c>
      <c r="D227" s="158" t="s">
        <v>166</v>
      </c>
      <c r="E227" s="330" t="s">
        <v>166</v>
      </c>
      <c r="F227" s="330" t="s">
        <v>167</v>
      </c>
      <c r="G227" s="330" t="s">
        <v>176</v>
      </c>
      <c r="H227" s="330" t="s">
        <v>63</v>
      </c>
      <c r="I227" s="114"/>
    </row>
    <row r="228" spans="2:9" s="1" customFormat="1" ht="14.4" customHeight="1" x14ac:dyDescent="0.3">
      <c r="B228" s="337" t="s">
        <v>1033</v>
      </c>
      <c r="C228" s="546" t="s">
        <v>789</v>
      </c>
      <c r="D228" s="158" t="s">
        <v>166</v>
      </c>
      <c r="E228" s="330" t="s">
        <v>166</v>
      </c>
      <c r="F228" s="330" t="s">
        <v>167</v>
      </c>
      <c r="G228" s="330" t="s">
        <v>176</v>
      </c>
      <c r="H228" s="330" t="s">
        <v>63</v>
      </c>
      <c r="I228" s="114"/>
    </row>
    <row r="229" spans="2:9" s="1" customFormat="1" ht="14.4" customHeight="1" x14ac:dyDescent="0.3">
      <c r="B229" s="337" t="s">
        <v>1034</v>
      </c>
      <c r="C229" s="546" t="s">
        <v>790</v>
      </c>
      <c r="D229" s="158" t="s">
        <v>166</v>
      </c>
      <c r="E229" s="330" t="s">
        <v>166</v>
      </c>
      <c r="F229" s="330" t="s">
        <v>167</v>
      </c>
      <c r="G229" s="330" t="s">
        <v>176</v>
      </c>
      <c r="H229" s="330" t="s">
        <v>63</v>
      </c>
      <c r="I229" s="114"/>
    </row>
    <row r="230" spans="2:9" s="1" customFormat="1" ht="14.4" customHeight="1" x14ac:dyDescent="0.3">
      <c r="B230" s="337" t="s">
        <v>1035</v>
      </c>
      <c r="C230" s="546" t="s">
        <v>791</v>
      </c>
      <c r="D230" s="158" t="s">
        <v>166</v>
      </c>
      <c r="E230" s="330" t="s">
        <v>166</v>
      </c>
      <c r="F230" s="330" t="s">
        <v>167</v>
      </c>
      <c r="G230" s="330" t="s">
        <v>176</v>
      </c>
      <c r="H230" s="330" t="s">
        <v>63</v>
      </c>
      <c r="I230" s="114"/>
    </row>
    <row r="231" spans="2:9" s="1" customFormat="1" ht="14.4" customHeight="1" x14ac:dyDescent="0.3">
      <c r="B231" s="337" t="s">
        <v>1036</v>
      </c>
      <c r="C231" s="546" t="s">
        <v>792</v>
      </c>
      <c r="D231" s="158" t="s">
        <v>166</v>
      </c>
      <c r="E231" s="330" t="s">
        <v>166</v>
      </c>
      <c r="F231" s="330" t="s">
        <v>167</v>
      </c>
      <c r="G231" s="330" t="s">
        <v>176</v>
      </c>
      <c r="H231" s="330" t="s">
        <v>63</v>
      </c>
      <c r="I231" s="114"/>
    </row>
    <row r="232" spans="2:9" s="1" customFormat="1" ht="14.4" customHeight="1" x14ac:dyDescent="0.3">
      <c r="B232" s="337" t="s">
        <v>1037</v>
      </c>
      <c r="C232" s="546" t="s">
        <v>793</v>
      </c>
      <c r="D232" s="158" t="s">
        <v>166</v>
      </c>
      <c r="E232" s="330" t="s">
        <v>166</v>
      </c>
      <c r="F232" s="330" t="s">
        <v>167</v>
      </c>
      <c r="G232" s="330" t="s">
        <v>176</v>
      </c>
      <c r="H232" s="330" t="s">
        <v>63</v>
      </c>
      <c r="I232" s="114"/>
    </row>
    <row r="233" spans="2:9" s="1" customFormat="1" ht="14.4" customHeight="1" x14ac:dyDescent="0.3">
      <c r="B233" s="337" t="s">
        <v>1038</v>
      </c>
      <c r="C233" s="546" t="s">
        <v>794</v>
      </c>
      <c r="D233" s="158" t="s">
        <v>166</v>
      </c>
      <c r="E233" s="330" t="s">
        <v>166</v>
      </c>
      <c r="F233" s="330" t="s">
        <v>167</v>
      </c>
      <c r="G233" s="330" t="s">
        <v>176</v>
      </c>
      <c r="H233" s="330" t="s">
        <v>63</v>
      </c>
      <c r="I233" s="114"/>
    </row>
    <row r="234" spans="2:9" s="1" customFormat="1" ht="14.4" customHeight="1" x14ac:dyDescent="0.3">
      <c r="B234" s="337" t="s">
        <v>1039</v>
      </c>
      <c r="C234" s="546" t="s">
        <v>795</v>
      </c>
      <c r="D234" s="158" t="s">
        <v>166</v>
      </c>
      <c r="E234" s="330" t="s">
        <v>166</v>
      </c>
      <c r="F234" s="330" t="s">
        <v>167</v>
      </c>
      <c r="G234" s="330" t="s">
        <v>176</v>
      </c>
      <c r="H234" s="330" t="s">
        <v>63</v>
      </c>
      <c r="I234" s="114"/>
    </row>
    <row r="235" spans="2:9" s="1" customFormat="1" ht="14.4" customHeight="1" x14ac:dyDescent="0.3">
      <c r="B235" s="337" t="s">
        <v>1040</v>
      </c>
      <c r="C235" s="546" t="s">
        <v>796</v>
      </c>
      <c r="D235" s="158" t="s">
        <v>166</v>
      </c>
      <c r="E235" s="330" t="s">
        <v>166</v>
      </c>
      <c r="F235" s="330" t="s">
        <v>167</v>
      </c>
      <c r="G235" s="330" t="s">
        <v>176</v>
      </c>
      <c r="H235" s="330" t="s">
        <v>63</v>
      </c>
      <c r="I235" s="114"/>
    </row>
    <row r="236" spans="2:9" s="1" customFormat="1" ht="14.4" customHeight="1" x14ac:dyDescent="0.3">
      <c r="B236" s="337" t="s">
        <v>1041</v>
      </c>
      <c r="C236" s="546" t="s">
        <v>797</v>
      </c>
      <c r="D236" s="158" t="s">
        <v>166</v>
      </c>
      <c r="E236" s="330" t="s">
        <v>166</v>
      </c>
      <c r="F236" s="330" t="s">
        <v>167</v>
      </c>
      <c r="G236" s="330" t="s">
        <v>176</v>
      </c>
      <c r="H236" s="330" t="s">
        <v>63</v>
      </c>
      <c r="I236" s="114"/>
    </row>
    <row r="237" spans="2:9" s="1" customFormat="1" ht="14.4" customHeight="1" x14ac:dyDescent="0.3">
      <c r="B237" s="337" t="s">
        <v>1042</v>
      </c>
      <c r="C237" s="546" t="s">
        <v>798</v>
      </c>
      <c r="D237" s="158" t="s">
        <v>166</v>
      </c>
      <c r="E237" s="330" t="s">
        <v>166</v>
      </c>
      <c r="F237" s="330" t="s">
        <v>167</v>
      </c>
      <c r="G237" s="330" t="s">
        <v>176</v>
      </c>
      <c r="H237" s="330" t="s">
        <v>63</v>
      </c>
      <c r="I237" s="114"/>
    </row>
    <row r="238" spans="2:9" s="1" customFormat="1" ht="14.4" customHeight="1" x14ac:dyDescent="0.3">
      <c r="B238" s="337" t="s">
        <v>1043</v>
      </c>
      <c r="C238" s="546" t="s">
        <v>799</v>
      </c>
      <c r="D238" s="158" t="s">
        <v>166</v>
      </c>
      <c r="E238" s="330" t="s">
        <v>166</v>
      </c>
      <c r="F238" s="330" t="s">
        <v>167</v>
      </c>
      <c r="G238" s="330" t="s">
        <v>176</v>
      </c>
      <c r="H238" s="330" t="s">
        <v>63</v>
      </c>
      <c r="I238" s="114"/>
    </row>
    <row r="239" spans="2:9" s="1" customFormat="1" ht="14.4" customHeight="1" x14ac:dyDescent="0.3">
      <c r="B239" s="337" t="s">
        <v>1044</v>
      </c>
      <c r="C239" s="546" t="s">
        <v>800</v>
      </c>
      <c r="D239" s="158" t="s">
        <v>166</v>
      </c>
      <c r="E239" s="330" t="s">
        <v>166</v>
      </c>
      <c r="F239" s="330" t="s">
        <v>167</v>
      </c>
      <c r="G239" s="330" t="s">
        <v>176</v>
      </c>
      <c r="H239" s="330" t="s">
        <v>63</v>
      </c>
      <c r="I239" s="114"/>
    </row>
    <row r="240" spans="2:9" s="1" customFormat="1" ht="14.4" customHeight="1" x14ac:dyDescent="0.3">
      <c r="B240" s="337" t="s">
        <v>1045</v>
      </c>
      <c r="C240" s="546" t="s">
        <v>801</v>
      </c>
      <c r="D240" s="158" t="s">
        <v>166</v>
      </c>
      <c r="E240" s="330" t="s">
        <v>166</v>
      </c>
      <c r="F240" s="330" t="s">
        <v>167</v>
      </c>
      <c r="G240" s="330" t="s">
        <v>176</v>
      </c>
      <c r="H240" s="330" t="s">
        <v>63</v>
      </c>
      <c r="I240" s="114"/>
    </row>
    <row r="241" spans="2:9" s="1" customFormat="1" ht="14.4" customHeight="1" x14ac:dyDescent="0.3">
      <c r="B241" s="337" t="s">
        <v>1046</v>
      </c>
      <c r="C241" s="546" t="s">
        <v>802</v>
      </c>
      <c r="D241" s="158" t="s">
        <v>166</v>
      </c>
      <c r="E241" s="330" t="s">
        <v>166</v>
      </c>
      <c r="F241" s="330" t="s">
        <v>167</v>
      </c>
      <c r="G241" s="330" t="s">
        <v>176</v>
      </c>
      <c r="H241" s="330" t="s">
        <v>63</v>
      </c>
      <c r="I241" s="114"/>
    </row>
    <row r="242" spans="2:9" s="1" customFormat="1" ht="14.4" customHeight="1" x14ac:dyDescent="0.3">
      <c r="B242" s="337" t="s">
        <v>1047</v>
      </c>
      <c r="C242" s="546" t="s">
        <v>803</v>
      </c>
      <c r="D242" s="158" t="s">
        <v>166</v>
      </c>
      <c r="E242" s="330" t="s">
        <v>166</v>
      </c>
      <c r="F242" s="330" t="s">
        <v>167</v>
      </c>
      <c r="G242" s="330" t="s">
        <v>176</v>
      </c>
      <c r="H242" s="330" t="s">
        <v>63</v>
      </c>
      <c r="I242" s="114"/>
    </row>
    <row r="243" spans="2:9" s="1" customFormat="1" ht="14.4" customHeight="1" x14ac:dyDescent="0.3">
      <c r="B243" s="337" t="s">
        <v>1048</v>
      </c>
      <c r="C243" s="546" t="s">
        <v>804</v>
      </c>
      <c r="D243" s="158" t="s">
        <v>166</v>
      </c>
      <c r="E243" s="330" t="s">
        <v>166</v>
      </c>
      <c r="F243" s="330" t="s">
        <v>167</v>
      </c>
      <c r="G243" s="330" t="s">
        <v>176</v>
      </c>
      <c r="H243" s="330" t="s">
        <v>63</v>
      </c>
      <c r="I243" s="114"/>
    </row>
    <row r="244" spans="2:9" s="1" customFormat="1" ht="14.4" customHeight="1" x14ac:dyDescent="0.3">
      <c r="B244" s="337" t="s">
        <v>1049</v>
      </c>
      <c r="C244" s="546" t="s">
        <v>805</v>
      </c>
      <c r="D244" s="158" t="s">
        <v>166</v>
      </c>
      <c r="E244" s="330" t="s">
        <v>166</v>
      </c>
      <c r="F244" s="330" t="s">
        <v>167</v>
      </c>
      <c r="G244" s="330" t="s">
        <v>176</v>
      </c>
      <c r="H244" s="330" t="s">
        <v>63</v>
      </c>
      <c r="I244" s="114"/>
    </row>
    <row r="245" spans="2:9" s="1" customFormat="1" ht="14.4" customHeight="1" x14ac:dyDescent="0.3">
      <c r="B245" s="337" t="s">
        <v>1050</v>
      </c>
      <c r="C245" s="546" t="s">
        <v>806</v>
      </c>
      <c r="D245" s="158" t="s">
        <v>166</v>
      </c>
      <c r="E245" s="330" t="s">
        <v>166</v>
      </c>
      <c r="F245" s="330" t="s">
        <v>167</v>
      </c>
      <c r="G245" s="330" t="s">
        <v>176</v>
      </c>
      <c r="H245" s="330" t="s">
        <v>63</v>
      </c>
      <c r="I245" s="114"/>
    </row>
    <row r="246" spans="2:9" s="1" customFormat="1" ht="14.4" customHeight="1" x14ac:dyDescent="0.3">
      <c r="B246" s="337" t="s">
        <v>1051</v>
      </c>
      <c r="C246" s="546" t="s">
        <v>807</v>
      </c>
      <c r="D246" s="158" t="s">
        <v>166</v>
      </c>
      <c r="E246" s="330" t="s">
        <v>166</v>
      </c>
      <c r="F246" s="330" t="s">
        <v>167</v>
      </c>
      <c r="G246" s="330" t="s">
        <v>176</v>
      </c>
      <c r="H246" s="330" t="s">
        <v>63</v>
      </c>
      <c r="I246" s="114"/>
    </row>
    <row r="247" spans="2:9" s="1" customFormat="1" ht="14.4" customHeight="1" x14ac:dyDescent="0.3">
      <c r="B247" s="337" t="s">
        <v>1052</v>
      </c>
      <c r="C247" s="546" t="s">
        <v>808</v>
      </c>
      <c r="D247" s="158" t="s">
        <v>166</v>
      </c>
      <c r="E247" s="330" t="s">
        <v>166</v>
      </c>
      <c r="F247" s="330" t="s">
        <v>167</v>
      </c>
      <c r="G247" s="330" t="s">
        <v>176</v>
      </c>
      <c r="H247" s="330" t="s">
        <v>63</v>
      </c>
      <c r="I247" s="114"/>
    </row>
    <row r="248" spans="2:9" s="1" customFormat="1" ht="14.4" customHeight="1" x14ac:dyDescent="0.3">
      <c r="B248" s="337" t="s">
        <v>1053</v>
      </c>
      <c r="C248" s="546" t="s">
        <v>809</v>
      </c>
      <c r="D248" s="158" t="s">
        <v>166</v>
      </c>
      <c r="E248" s="330" t="s">
        <v>166</v>
      </c>
      <c r="F248" s="330" t="s">
        <v>167</v>
      </c>
      <c r="G248" s="330" t="s">
        <v>176</v>
      </c>
      <c r="H248" s="330" t="s">
        <v>63</v>
      </c>
      <c r="I248" s="114"/>
    </row>
    <row r="249" spans="2:9" s="1" customFormat="1" ht="14.4" customHeight="1" x14ac:dyDescent="0.3">
      <c r="B249" s="337" t="s">
        <v>1054</v>
      </c>
      <c r="C249" s="546" t="s">
        <v>810</v>
      </c>
      <c r="D249" s="158" t="s">
        <v>166</v>
      </c>
      <c r="E249" s="330" t="s">
        <v>166</v>
      </c>
      <c r="F249" s="330" t="s">
        <v>167</v>
      </c>
      <c r="G249" s="330" t="s">
        <v>176</v>
      </c>
      <c r="H249" s="330" t="s">
        <v>63</v>
      </c>
      <c r="I249" s="114"/>
    </row>
    <row r="250" spans="2:9" s="1" customFormat="1" ht="14.4" customHeight="1" x14ac:dyDescent="0.3">
      <c r="B250" s="337" t="s">
        <v>1055</v>
      </c>
      <c r="C250" s="546" t="s">
        <v>811</v>
      </c>
      <c r="D250" s="158" t="s">
        <v>166</v>
      </c>
      <c r="E250" s="330" t="s">
        <v>166</v>
      </c>
      <c r="F250" s="330" t="s">
        <v>167</v>
      </c>
      <c r="G250" s="330" t="s">
        <v>176</v>
      </c>
      <c r="H250" s="330" t="s">
        <v>63</v>
      </c>
      <c r="I250" s="114"/>
    </row>
    <row r="251" spans="2:9" s="1" customFormat="1" ht="14.4" customHeight="1" x14ac:dyDescent="0.3">
      <c r="B251" s="337" t="s">
        <v>1056</v>
      </c>
      <c r="C251" s="546" t="s">
        <v>812</v>
      </c>
      <c r="D251" s="158" t="s">
        <v>166</v>
      </c>
      <c r="E251" s="330" t="s">
        <v>166</v>
      </c>
      <c r="F251" s="330" t="s">
        <v>167</v>
      </c>
      <c r="G251" s="330" t="s">
        <v>176</v>
      </c>
      <c r="H251" s="330" t="s">
        <v>63</v>
      </c>
      <c r="I251" s="114"/>
    </row>
    <row r="252" spans="2:9" s="1" customFormat="1" ht="14.4" customHeight="1" x14ac:dyDescent="0.3">
      <c r="B252" s="337" t="s">
        <v>1057</v>
      </c>
      <c r="C252" s="546" t="s">
        <v>813</v>
      </c>
      <c r="D252" s="158" t="s">
        <v>166</v>
      </c>
      <c r="E252" s="330" t="s">
        <v>166</v>
      </c>
      <c r="F252" s="330" t="s">
        <v>167</v>
      </c>
      <c r="G252" s="330" t="s">
        <v>176</v>
      </c>
      <c r="H252" s="330" t="s">
        <v>63</v>
      </c>
      <c r="I252" s="114"/>
    </row>
    <row r="253" spans="2:9" s="1" customFormat="1" ht="14.4" customHeight="1" x14ac:dyDescent="0.3">
      <c r="B253" s="337" t="s">
        <v>1058</v>
      </c>
      <c r="C253" s="546" t="s">
        <v>814</v>
      </c>
      <c r="D253" s="158" t="s">
        <v>166</v>
      </c>
      <c r="E253" s="330" t="s">
        <v>166</v>
      </c>
      <c r="F253" s="330" t="s">
        <v>167</v>
      </c>
      <c r="G253" s="330" t="s">
        <v>176</v>
      </c>
      <c r="H253" s="330" t="s">
        <v>63</v>
      </c>
      <c r="I253" s="114"/>
    </row>
    <row r="254" spans="2:9" s="1" customFormat="1" ht="14.4" customHeight="1" x14ac:dyDescent="0.3">
      <c r="B254" s="337" t="s">
        <v>1059</v>
      </c>
      <c r="C254" s="546" t="s">
        <v>815</v>
      </c>
      <c r="D254" s="158" t="s">
        <v>166</v>
      </c>
      <c r="E254" s="330" t="s">
        <v>166</v>
      </c>
      <c r="F254" s="330" t="s">
        <v>167</v>
      </c>
      <c r="G254" s="330" t="s">
        <v>176</v>
      </c>
      <c r="H254" s="330" t="s">
        <v>63</v>
      </c>
      <c r="I254" s="114"/>
    </row>
    <row r="255" spans="2:9" s="1" customFormat="1" ht="14.4" customHeight="1" x14ac:dyDescent="0.3">
      <c r="B255" s="337" t="s">
        <v>1060</v>
      </c>
      <c r="C255" s="546" t="s">
        <v>816</v>
      </c>
      <c r="D255" s="158" t="s">
        <v>166</v>
      </c>
      <c r="E255" s="330" t="s">
        <v>166</v>
      </c>
      <c r="F255" s="330" t="s">
        <v>167</v>
      </c>
      <c r="G255" s="330" t="s">
        <v>176</v>
      </c>
      <c r="H255" s="330" t="s">
        <v>63</v>
      </c>
      <c r="I255" s="114"/>
    </row>
    <row r="256" spans="2:9" s="1" customFormat="1" ht="14.4" customHeight="1" x14ac:dyDescent="0.3">
      <c r="B256" s="337" t="s">
        <v>1061</v>
      </c>
      <c r="C256" s="546" t="s">
        <v>817</v>
      </c>
      <c r="D256" s="158" t="s">
        <v>166</v>
      </c>
      <c r="E256" s="330" t="s">
        <v>166</v>
      </c>
      <c r="F256" s="330" t="s">
        <v>167</v>
      </c>
      <c r="G256" s="330" t="s">
        <v>176</v>
      </c>
      <c r="H256" s="330" t="s">
        <v>63</v>
      </c>
      <c r="I256" s="114"/>
    </row>
    <row r="257" spans="2:9" s="1" customFormat="1" ht="14.4" customHeight="1" x14ac:dyDescent="0.3">
      <c r="B257" s="337" t="s">
        <v>1062</v>
      </c>
      <c r="C257" s="546" t="s">
        <v>818</v>
      </c>
      <c r="D257" s="158" t="s">
        <v>166</v>
      </c>
      <c r="E257" s="330" t="s">
        <v>166</v>
      </c>
      <c r="F257" s="330" t="s">
        <v>167</v>
      </c>
      <c r="G257" s="330" t="s">
        <v>176</v>
      </c>
      <c r="H257" s="330" t="s">
        <v>63</v>
      </c>
      <c r="I257" s="114"/>
    </row>
    <row r="258" spans="2:9" s="1" customFormat="1" ht="14.4" customHeight="1" x14ac:dyDescent="0.3">
      <c r="B258" s="337" t="s">
        <v>1063</v>
      </c>
      <c r="C258" s="546" t="s">
        <v>819</v>
      </c>
      <c r="D258" s="158" t="s">
        <v>166</v>
      </c>
      <c r="E258" s="330" t="s">
        <v>166</v>
      </c>
      <c r="F258" s="330" t="s">
        <v>167</v>
      </c>
      <c r="G258" s="330" t="s">
        <v>176</v>
      </c>
      <c r="H258" s="330" t="s">
        <v>63</v>
      </c>
      <c r="I258" s="114"/>
    </row>
    <row r="259" spans="2:9" s="1" customFormat="1" ht="14.4" customHeight="1" x14ac:dyDescent="0.3">
      <c r="B259" s="337" t="s">
        <v>1064</v>
      </c>
      <c r="C259" s="546" t="s">
        <v>820</v>
      </c>
      <c r="D259" s="158" t="s">
        <v>166</v>
      </c>
      <c r="E259" s="330" t="s">
        <v>166</v>
      </c>
      <c r="F259" s="330" t="s">
        <v>167</v>
      </c>
      <c r="G259" s="330" t="s">
        <v>176</v>
      </c>
      <c r="H259" s="330" t="s">
        <v>63</v>
      </c>
      <c r="I259" s="114"/>
    </row>
    <row r="260" spans="2:9" s="1" customFormat="1" ht="14.4" customHeight="1" x14ac:dyDescent="0.3">
      <c r="B260" s="337" t="s">
        <v>1065</v>
      </c>
      <c r="C260" s="546" t="s">
        <v>821</v>
      </c>
      <c r="D260" s="158" t="s">
        <v>166</v>
      </c>
      <c r="E260" s="330" t="s">
        <v>166</v>
      </c>
      <c r="F260" s="330" t="s">
        <v>167</v>
      </c>
      <c r="G260" s="330" t="s">
        <v>176</v>
      </c>
      <c r="H260" s="330" t="s">
        <v>63</v>
      </c>
      <c r="I260" s="114"/>
    </row>
    <row r="261" spans="2:9" s="1" customFormat="1" ht="14.4" customHeight="1" x14ac:dyDescent="0.3">
      <c r="B261" s="337" t="s">
        <v>1066</v>
      </c>
      <c r="C261" s="546" t="s">
        <v>822</v>
      </c>
      <c r="D261" s="158" t="s">
        <v>166</v>
      </c>
      <c r="E261" s="330" t="s">
        <v>166</v>
      </c>
      <c r="F261" s="330" t="s">
        <v>167</v>
      </c>
      <c r="G261" s="330" t="s">
        <v>176</v>
      </c>
      <c r="H261" s="330" t="s">
        <v>63</v>
      </c>
      <c r="I261" s="114"/>
    </row>
    <row r="262" spans="2:9" s="1" customFormat="1" ht="14.4" customHeight="1" x14ac:dyDescent="0.3">
      <c r="B262" s="337" t="s">
        <v>1067</v>
      </c>
      <c r="C262" s="546" t="s">
        <v>823</v>
      </c>
      <c r="D262" s="158" t="s">
        <v>166</v>
      </c>
      <c r="E262" s="330" t="s">
        <v>166</v>
      </c>
      <c r="F262" s="330" t="s">
        <v>167</v>
      </c>
      <c r="G262" s="330" t="s">
        <v>176</v>
      </c>
      <c r="H262" s="330" t="s">
        <v>63</v>
      </c>
      <c r="I262" s="114"/>
    </row>
    <row r="263" spans="2:9" s="1" customFormat="1" ht="14.4" customHeight="1" x14ac:dyDescent="0.3">
      <c r="B263" s="337" t="s">
        <v>1068</v>
      </c>
      <c r="C263" s="546" t="s">
        <v>824</v>
      </c>
      <c r="D263" s="158" t="s">
        <v>166</v>
      </c>
      <c r="E263" s="330" t="s">
        <v>166</v>
      </c>
      <c r="F263" s="330" t="s">
        <v>167</v>
      </c>
      <c r="G263" s="330" t="s">
        <v>176</v>
      </c>
      <c r="H263" s="330" t="s">
        <v>63</v>
      </c>
      <c r="I263" s="114"/>
    </row>
    <row r="264" spans="2:9" s="1" customFormat="1" ht="14.4" customHeight="1" x14ac:dyDescent="0.3">
      <c r="B264" s="337" t="s">
        <v>1069</v>
      </c>
      <c r="C264" s="546" t="s">
        <v>825</v>
      </c>
      <c r="D264" s="158" t="s">
        <v>166</v>
      </c>
      <c r="E264" s="330" t="s">
        <v>166</v>
      </c>
      <c r="F264" s="330" t="s">
        <v>167</v>
      </c>
      <c r="G264" s="330" t="s">
        <v>176</v>
      </c>
      <c r="H264" s="330" t="s">
        <v>63</v>
      </c>
      <c r="I264" s="114"/>
    </row>
    <row r="265" spans="2:9" s="1" customFormat="1" ht="14.4" customHeight="1" x14ac:dyDescent="0.3">
      <c r="B265" s="337" t="s">
        <v>1070</v>
      </c>
      <c r="C265" s="546" t="s">
        <v>826</v>
      </c>
      <c r="D265" s="158" t="s">
        <v>166</v>
      </c>
      <c r="E265" s="330" t="s">
        <v>166</v>
      </c>
      <c r="F265" s="330" t="s">
        <v>167</v>
      </c>
      <c r="G265" s="330" t="s">
        <v>176</v>
      </c>
      <c r="H265" s="330" t="s">
        <v>63</v>
      </c>
      <c r="I265" s="114"/>
    </row>
    <row r="266" spans="2:9" s="1" customFormat="1" ht="14.4" customHeight="1" x14ac:dyDescent="0.3">
      <c r="B266" s="337" t="s">
        <v>1071</v>
      </c>
      <c r="C266" s="546" t="s">
        <v>827</v>
      </c>
      <c r="D266" s="158" t="s">
        <v>166</v>
      </c>
      <c r="E266" s="330" t="s">
        <v>166</v>
      </c>
      <c r="F266" s="330" t="s">
        <v>167</v>
      </c>
      <c r="G266" s="330" t="s">
        <v>176</v>
      </c>
      <c r="H266" s="330" t="s">
        <v>63</v>
      </c>
      <c r="I266" s="114"/>
    </row>
    <row r="267" spans="2:9" s="1" customFormat="1" ht="14.4" customHeight="1" x14ac:dyDescent="0.3">
      <c r="B267" s="337" t="s">
        <v>1072</v>
      </c>
      <c r="C267" s="546" t="s">
        <v>828</v>
      </c>
      <c r="D267" s="158" t="s">
        <v>166</v>
      </c>
      <c r="E267" s="330" t="s">
        <v>166</v>
      </c>
      <c r="F267" s="330" t="s">
        <v>167</v>
      </c>
      <c r="G267" s="330" t="s">
        <v>176</v>
      </c>
      <c r="H267" s="330" t="s">
        <v>63</v>
      </c>
      <c r="I267" s="114"/>
    </row>
    <row r="268" spans="2:9" s="1" customFormat="1" ht="14.4" customHeight="1" x14ac:dyDescent="0.3">
      <c r="B268" s="337" t="s">
        <v>1073</v>
      </c>
      <c r="C268" s="546" t="s">
        <v>829</v>
      </c>
      <c r="D268" s="158" t="s">
        <v>166</v>
      </c>
      <c r="E268" s="330" t="s">
        <v>166</v>
      </c>
      <c r="F268" s="330" t="s">
        <v>167</v>
      </c>
      <c r="G268" s="330" t="s">
        <v>176</v>
      </c>
      <c r="H268" s="330" t="s">
        <v>63</v>
      </c>
      <c r="I268" s="114"/>
    </row>
    <row r="269" spans="2:9" s="1" customFormat="1" ht="14.4" customHeight="1" x14ac:dyDescent="0.3">
      <c r="B269" s="337" t="s">
        <v>1074</v>
      </c>
      <c r="C269" s="546" t="s">
        <v>830</v>
      </c>
      <c r="D269" s="158" t="s">
        <v>166</v>
      </c>
      <c r="E269" s="330" t="s">
        <v>166</v>
      </c>
      <c r="F269" s="330" t="s">
        <v>167</v>
      </c>
      <c r="G269" s="330" t="s">
        <v>176</v>
      </c>
      <c r="H269" s="330" t="s">
        <v>63</v>
      </c>
      <c r="I269" s="114"/>
    </row>
    <row r="270" spans="2:9" s="1" customFormat="1" ht="14.4" customHeight="1" x14ac:dyDescent="0.3">
      <c r="B270" s="337" t="s">
        <v>1075</v>
      </c>
      <c r="C270" s="546" t="s">
        <v>831</v>
      </c>
      <c r="D270" s="158" t="s">
        <v>166</v>
      </c>
      <c r="E270" s="330" t="s">
        <v>166</v>
      </c>
      <c r="F270" s="330" t="s">
        <v>167</v>
      </c>
      <c r="G270" s="330" t="s">
        <v>176</v>
      </c>
      <c r="H270" s="330" t="s">
        <v>63</v>
      </c>
      <c r="I270" s="114"/>
    </row>
    <row r="271" spans="2:9" s="1" customFormat="1" ht="14.4" customHeight="1" x14ac:dyDescent="0.3">
      <c r="B271" s="337" t="s">
        <v>1076</v>
      </c>
      <c r="C271" s="546" t="s">
        <v>832</v>
      </c>
      <c r="D271" s="158" t="s">
        <v>166</v>
      </c>
      <c r="E271" s="330" t="s">
        <v>166</v>
      </c>
      <c r="F271" s="330" t="s">
        <v>167</v>
      </c>
      <c r="G271" s="330" t="s">
        <v>176</v>
      </c>
      <c r="H271" s="330" t="s">
        <v>63</v>
      </c>
      <c r="I271" s="114"/>
    </row>
    <row r="272" spans="2:9" s="1" customFormat="1" ht="14.4" customHeight="1" x14ac:dyDescent="0.3">
      <c r="B272" s="337" t="s">
        <v>1077</v>
      </c>
      <c r="C272" s="546" t="s">
        <v>833</v>
      </c>
      <c r="D272" s="158" t="s">
        <v>166</v>
      </c>
      <c r="E272" s="330" t="s">
        <v>166</v>
      </c>
      <c r="F272" s="330" t="s">
        <v>167</v>
      </c>
      <c r="G272" s="330" t="s">
        <v>176</v>
      </c>
      <c r="H272" s="330" t="s">
        <v>63</v>
      </c>
      <c r="I272" s="114"/>
    </row>
    <row r="273" spans="2:9" s="1" customFormat="1" ht="14.4" customHeight="1" x14ac:dyDescent="0.3">
      <c r="B273" s="337" t="s">
        <v>1078</v>
      </c>
      <c r="C273" s="546" t="s">
        <v>834</v>
      </c>
      <c r="D273" s="158" t="s">
        <v>166</v>
      </c>
      <c r="E273" s="330" t="s">
        <v>166</v>
      </c>
      <c r="F273" s="330" t="s">
        <v>167</v>
      </c>
      <c r="G273" s="330" t="s">
        <v>176</v>
      </c>
      <c r="H273" s="330" t="s">
        <v>63</v>
      </c>
      <c r="I273" s="114"/>
    </row>
    <row r="274" spans="2:9" s="1" customFormat="1" ht="14.4" customHeight="1" x14ac:dyDescent="0.3">
      <c r="B274" s="337" t="s">
        <v>1079</v>
      </c>
      <c r="C274" s="546" t="s">
        <v>835</v>
      </c>
      <c r="D274" s="158" t="s">
        <v>166</v>
      </c>
      <c r="E274" s="330" t="s">
        <v>166</v>
      </c>
      <c r="F274" s="330" t="s">
        <v>167</v>
      </c>
      <c r="G274" s="330" t="s">
        <v>176</v>
      </c>
      <c r="H274" s="330" t="s">
        <v>63</v>
      </c>
      <c r="I274" s="114"/>
    </row>
    <row r="275" spans="2:9" s="1" customFormat="1" ht="14.4" customHeight="1" x14ac:dyDescent="0.3">
      <c r="B275" s="337" t="s">
        <v>1080</v>
      </c>
      <c r="C275" s="546" t="s">
        <v>836</v>
      </c>
      <c r="D275" s="158" t="s">
        <v>166</v>
      </c>
      <c r="E275" s="330" t="s">
        <v>166</v>
      </c>
      <c r="F275" s="330" t="s">
        <v>167</v>
      </c>
      <c r="G275" s="330" t="s">
        <v>176</v>
      </c>
      <c r="H275" s="330" t="s">
        <v>63</v>
      </c>
      <c r="I275" s="114"/>
    </row>
    <row r="276" spans="2:9" s="1" customFormat="1" ht="14.4" customHeight="1" x14ac:dyDescent="0.3">
      <c r="B276" s="337" t="s">
        <v>1081</v>
      </c>
      <c r="C276" s="546" t="s">
        <v>837</v>
      </c>
      <c r="D276" s="158" t="s">
        <v>166</v>
      </c>
      <c r="E276" s="330" t="s">
        <v>166</v>
      </c>
      <c r="F276" s="330" t="s">
        <v>167</v>
      </c>
      <c r="G276" s="330" t="s">
        <v>176</v>
      </c>
      <c r="H276" s="330" t="s">
        <v>63</v>
      </c>
      <c r="I276" s="114"/>
    </row>
    <row r="277" spans="2:9" s="1" customFormat="1" ht="14.4" customHeight="1" x14ac:dyDescent="0.3">
      <c r="B277" s="337" t="s">
        <v>1082</v>
      </c>
      <c r="C277" s="546" t="s">
        <v>838</v>
      </c>
      <c r="D277" s="158" t="s">
        <v>166</v>
      </c>
      <c r="E277" s="330" t="s">
        <v>166</v>
      </c>
      <c r="F277" s="330" t="s">
        <v>167</v>
      </c>
      <c r="G277" s="330" t="s">
        <v>176</v>
      </c>
      <c r="H277" s="330" t="s">
        <v>63</v>
      </c>
      <c r="I277" s="114"/>
    </row>
    <row r="278" spans="2:9" s="1" customFormat="1" ht="14.4" customHeight="1" x14ac:dyDescent="0.3">
      <c r="B278" s="337" t="s">
        <v>1083</v>
      </c>
      <c r="C278" s="546" t="s">
        <v>839</v>
      </c>
      <c r="D278" s="158" t="s">
        <v>166</v>
      </c>
      <c r="E278" s="330" t="s">
        <v>166</v>
      </c>
      <c r="F278" s="330" t="s">
        <v>167</v>
      </c>
      <c r="G278" s="330" t="s">
        <v>176</v>
      </c>
      <c r="H278" s="330" t="s">
        <v>63</v>
      </c>
      <c r="I278" s="114"/>
    </row>
    <row r="279" spans="2:9" s="1" customFormat="1" ht="14.4" customHeight="1" x14ac:dyDescent="0.3">
      <c r="B279" s="337" t="s">
        <v>1084</v>
      </c>
      <c r="C279" s="546" t="s">
        <v>840</v>
      </c>
      <c r="D279" s="158" t="s">
        <v>166</v>
      </c>
      <c r="E279" s="330" t="s">
        <v>166</v>
      </c>
      <c r="F279" s="330" t="s">
        <v>167</v>
      </c>
      <c r="G279" s="330" t="s">
        <v>176</v>
      </c>
      <c r="H279" s="330" t="s">
        <v>63</v>
      </c>
      <c r="I279" s="114"/>
    </row>
    <row r="280" spans="2:9" s="1" customFormat="1" ht="14.4" customHeight="1" x14ac:dyDescent="0.3">
      <c r="B280" s="337" t="s">
        <v>1085</v>
      </c>
      <c r="C280" s="546" t="s">
        <v>841</v>
      </c>
      <c r="D280" s="158" t="s">
        <v>166</v>
      </c>
      <c r="E280" s="330" t="s">
        <v>166</v>
      </c>
      <c r="F280" s="330" t="s">
        <v>167</v>
      </c>
      <c r="G280" s="330" t="s">
        <v>176</v>
      </c>
      <c r="H280" s="330" t="s">
        <v>63</v>
      </c>
      <c r="I280" s="114"/>
    </row>
    <row r="281" spans="2:9" s="1" customFormat="1" ht="14.4" customHeight="1" x14ac:dyDescent="0.3">
      <c r="B281" s="337" t="s">
        <v>1086</v>
      </c>
      <c r="C281" s="546" t="s">
        <v>842</v>
      </c>
      <c r="D281" s="158" t="s">
        <v>166</v>
      </c>
      <c r="E281" s="330" t="s">
        <v>166</v>
      </c>
      <c r="F281" s="330" t="s">
        <v>167</v>
      </c>
      <c r="G281" s="330" t="s">
        <v>176</v>
      </c>
      <c r="H281" s="330" t="s">
        <v>63</v>
      </c>
      <c r="I281" s="114"/>
    </row>
    <row r="282" spans="2:9" s="1" customFormat="1" ht="14.4" customHeight="1" x14ac:dyDescent="0.3">
      <c r="B282" s="337" t="s">
        <v>1087</v>
      </c>
      <c r="C282" s="546" t="s">
        <v>843</v>
      </c>
      <c r="D282" s="158" t="s">
        <v>166</v>
      </c>
      <c r="E282" s="330" t="s">
        <v>166</v>
      </c>
      <c r="F282" s="330" t="s">
        <v>167</v>
      </c>
      <c r="G282" s="330" t="s">
        <v>176</v>
      </c>
      <c r="H282" s="330" t="s">
        <v>63</v>
      </c>
      <c r="I282" s="114"/>
    </row>
    <row r="283" spans="2:9" s="1" customFormat="1" ht="14.4" customHeight="1" x14ac:dyDescent="0.3">
      <c r="B283" s="337" t="s">
        <v>1088</v>
      </c>
      <c r="C283" s="546" t="s">
        <v>844</v>
      </c>
      <c r="D283" s="158" t="s">
        <v>166</v>
      </c>
      <c r="E283" s="330" t="s">
        <v>166</v>
      </c>
      <c r="F283" s="330" t="s">
        <v>167</v>
      </c>
      <c r="G283" s="330" t="s">
        <v>176</v>
      </c>
      <c r="H283" s="330" t="s">
        <v>63</v>
      </c>
      <c r="I283" s="114"/>
    </row>
    <row r="284" spans="2:9" s="1" customFormat="1" ht="14.4" customHeight="1" x14ac:dyDescent="0.3">
      <c r="B284" s="337" t="s">
        <v>1089</v>
      </c>
      <c r="C284" s="546" t="s">
        <v>845</v>
      </c>
      <c r="D284" s="158" t="s">
        <v>166</v>
      </c>
      <c r="E284" s="330" t="s">
        <v>166</v>
      </c>
      <c r="F284" s="330" t="s">
        <v>167</v>
      </c>
      <c r="G284" s="330" t="s">
        <v>176</v>
      </c>
      <c r="H284" s="330" t="s">
        <v>63</v>
      </c>
      <c r="I284" s="114"/>
    </row>
    <row r="285" spans="2:9" s="1" customFormat="1" ht="14.4" customHeight="1" x14ac:dyDescent="0.3">
      <c r="B285" s="337" t="s">
        <v>1090</v>
      </c>
      <c r="C285" s="546" t="s">
        <v>846</v>
      </c>
      <c r="D285" s="158" t="s">
        <v>166</v>
      </c>
      <c r="E285" s="330" t="s">
        <v>166</v>
      </c>
      <c r="F285" s="330" t="s">
        <v>167</v>
      </c>
      <c r="G285" s="330" t="s">
        <v>176</v>
      </c>
      <c r="H285" s="330" t="s">
        <v>63</v>
      </c>
      <c r="I285" s="114"/>
    </row>
    <row r="286" spans="2:9" s="1" customFormat="1" ht="14.4" customHeight="1" x14ac:dyDescent="0.3">
      <c r="B286" s="337" t="s">
        <v>1091</v>
      </c>
      <c r="C286" s="546" t="s">
        <v>847</v>
      </c>
      <c r="D286" s="158" t="s">
        <v>166</v>
      </c>
      <c r="E286" s="330" t="s">
        <v>166</v>
      </c>
      <c r="F286" s="330" t="s">
        <v>167</v>
      </c>
      <c r="G286" s="330" t="s">
        <v>176</v>
      </c>
      <c r="H286" s="330" t="s">
        <v>63</v>
      </c>
      <c r="I286" s="114"/>
    </row>
    <row r="287" spans="2:9" s="1" customFormat="1" ht="14.4" customHeight="1" x14ac:dyDescent="0.3">
      <c r="B287" s="337" t="s">
        <v>1092</v>
      </c>
      <c r="C287" s="546" t="s">
        <v>848</v>
      </c>
      <c r="D287" s="158" t="s">
        <v>166</v>
      </c>
      <c r="E287" s="330" t="s">
        <v>166</v>
      </c>
      <c r="F287" s="330" t="s">
        <v>167</v>
      </c>
      <c r="G287" s="330" t="s">
        <v>176</v>
      </c>
      <c r="H287" s="330" t="s">
        <v>63</v>
      </c>
      <c r="I287" s="114"/>
    </row>
    <row r="288" spans="2:9" s="1" customFormat="1" ht="14.4" customHeight="1" x14ac:dyDescent="0.3">
      <c r="B288" s="337" t="s">
        <v>1093</v>
      </c>
      <c r="C288" s="546" t="s">
        <v>849</v>
      </c>
      <c r="D288" s="158" t="s">
        <v>166</v>
      </c>
      <c r="E288" s="330" t="s">
        <v>166</v>
      </c>
      <c r="F288" s="330" t="s">
        <v>167</v>
      </c>
      <c r="G288" s="330" t="s">
        <v>176</v>
      </c>
      <c r="H288" s="330" t="s">
        <v>63</v>
      </c>
      <c r="I288" s="114"/>
    </row>
    <row r="289" spans="2:9" s="1" customFormat="1" ht="14.4" customHeight="1" x14ac:dyDescent="0.3">
      <c r="B289" s="337" t="s">
        <v>1094</v>
      </c>
      <c r="C289" s="546" t="s">
        <v>850</v>
      </c>
      <c r="D289" s="158" t="s">
        <v>166</v>
      </c>
      <c r="E289" s="330" t="s">
        <v>166</v>
      </c>
      <c r="F289" s="330" t="s">
        <v>167</v>
      </c>
      <c r="G289" s="330" t="s">
        <v>176</v>
      </c>
      <c r="H289" s="330" t="s">
        <v>63</v>
      </c>
      <c r="I289" s="114"/>
    </row>
    <row r="290" spans="2:9" s="1" customFormat="1" ht="14.4" customHeight="1" x14ac:dyDescent="0.3">
      <c r="B290" s="337" t="s">
        <v>1095</v>
      </c>
      <c r="C290" s="546" t="s">
        <v>851</v>
      </c>
      <c r="D290" s="158" t="s">
        <v>166</v>
      </c>
      <c r="E290" s="330" t="s">
        <v>166</v>
      </c>
      <c r="F290" s="330" t="s">
        <v>167</v>
      </c>
      <c r="G290" s="330" t="s">
        <v>176</v>
      </c>
      <c r="H290" s="330" t="s">
        <v>63</v>
      </c>
      <c r="I290" s="114"/>
    </row>
    <row r="291" spans="2:9" s="1" customFormat="1" ht="14.4" customHeight="1" x14ac:dyDescent="0.3">
      <c r="B291" s="337" t="s">
        <v>1096</v>
      </c>
      <c r="C291" s="546" t="s">
        <v>852</v>
      </c>
      <c r="D291" s="158" t="s">
        <v>166</v>
      </c>
      <c r="E291" s="330" t="s">
        <v>166</v>
      </c>
      <c r="F291" s="330" t="s">
        <v>167</v>
      </c>
      <c r="G291" s="330" t="s">
        <v>176</v>
      </c>
      <c r="H291" s="330" t="s">
        <v>63</v>
      </c>
      <c r="I291" s="114"/>
    </row>
    <row r="292" spans="2:9" s="1" customFormat="1" ht="14.4" customHeight="1" x14ac:dyDescent="0.3">
      <c r="B292" s="337" t="s">
        <v>1097</v>
      </c>
      <c r="C292" s="546" t="s">
        <v>853</v>
      </c>
      <c r="D292" s="158" t="s">
        <v>166</v>
      </c>
      <c r="E292" s="330" t="s">
        <v>166</v>
      </c>
      <c r="F292" s="330" t="s">
        <v>167</v>
      </c>
      <c r="G292" s="330" t="s">
        <v>176</v>
      </c>
      <c r="H292" s="330" t="s">
        <v>63</v>
      </c>
      <c r="I292" s="114"/>
    </row>
    <row r="293" spans="2:9" s="1" customFormat="1" ht="14.4" customHeight="1" x14ac:dyDescent="0.3">
      <c r="B293" s="337" t="s">
        <v>1098</v>
      </c>
      <c r="C293" s="546" t="s">
        <v>854</v>
      </c>
      <c r="D293" s="158" t="s">
        <v>166</v>
      </c>
      <c r="E293" s="330" t="s">
        <v>166</v>
      </c>
      <c r="F293" s="330" t="s">
        <v>167</v>
      </c>
      <c r="G293" s="330" t="s">
        <v>176</v>
      </c>
      <c r="H293" s="330" t="s">
        <v>63</v>
      </c>
      <c r="I293" s="114"/>
    </row>
    <row r="294" spans="2:9" s="1" customFormat="1" ht="14.4" customHeight="1" x14ac:dyDescent="0.3">
      <c r="B294" s="337" t="s">
        <v>1099</v>
      </c>
      <c r="C294" s="546" t="s">
        <v>855</v>
      </c>
      <c r="D294" s="158" t="s">
        <v>166</v>
      </c>
      <c r="E294" s="330" t="s">
        <v>166</v>
      </c>
      <c r="F294" s="330" t="s">
        <v>167</v>
      </c>
      <c r="G294" s="330" t="s">
        <v>176</v>
      </c>
      <c r="H294" s="330" t="s">
        <v>63</v>
      </c>
      <c r="I294" s="114"/>
    </row>
    <row r="295" spans="2:9" s="1" customFormat="1" ht="14.4" customHeight="1" x14ac:dyDescent="0.3">
      <c r="B295" s="337" t="s">
        <v>1100</v>
      </c>
      <c r="C295" s="546" t="s">
        <v>856</v>
      </c>
      <c r="D295" s="158" t="s">
        <v>166</v>
      </c>
      <c r="E295" s="330" t="s">
        <v>166</v>
      </c>
      <c r="F295" s="330" t="s">
        <v>167</v>
      </c>
      <c r="G295" s="330" t="s">
        <v>176</v>
      </c>
      <c r="H295" s="330" t="s">
        <v>63</v>
      </c>
      <c r="I295" s="114"/>
    </row>
    <row r="296" spans="2:9" s="1" customFormat="1" ht="14.4" customHeight="1" x14ac:dyDescent="0.3">
      <c r="B296" s="337" t="s">
        <v>1101</v>
      </c>
      <c r="C296" s="546" t="s">
        <v>857</v>
      </c>
      <c r="D296" s="158" t="s">
        <v>166</v>
      </c>
      <c r="E296" s="330" t="s">
        <v>166</v>
      </c>
      <c r="F296" s="330" t="s">
        <v>167</v>
      </c>
      <c r="G296" s="330" t="s">
        <v>176</v>
      </c>
      <c r="H296" s="330" t="s">
        <v>63</v>
      </c>
      <c r="I296" s="114"/>
    </row>
    <row r="297" spans="2:9" s="1" customFormat="1" ht="14.4" customHeight="1" x14ac:dyDescent="0.3">
      <c r="B297" s="337" t="s">
        <v>1102</v>
      </c>
      <c r="C297" s="546" t="s">
        <v>858</v>
      </c>
      <c r="D297" s="158" t="s">
        <v>166</v>
      </c>
      <c r="E297" s="330" t="s">
        <v>166</v>
      </c>
      <c r="F297" s="330" t="s">
        <v>167</v>
      </c>
      <c r="G297" s="330" t="s">
        <v>176</v>
      </c>
      <c r="H297" s="330" t="s">
        <v>63</v>
      </c>
      <c r="I297" s="114"/>
    </row>
    <row r="298" spans="2:9" s="1" customFormat="1" ht="14.4" customHeight="1" x14ac:dyDescent="0.3">
      <c r="B298" s="337" t="s">
        <v>1103</v>
      </c>
      <c r="C298" s="546" t="s">
        <v>859</v>
      </c>
      <c r="D298" s="158" t="s">
        <v>166</v>
      </c>
      <c r="E298" s="330" t="s">
        <v>166</v>
      </c>
      <c r="F298" s="330" t="s">
        <v>167</v>
      </c>
      <c r="G298" s="330" t="s">
        <v>176</v>
      </c>
      <c r="H298" s="330" t="s">
        <v>63</v>
      </c>
      <c r="I298" s="114"/>
    </row>
    <row r="299" spans="2:9" s="1" customFormat="1" ht="14.4" customHeight="1" x14ac:dyDescent="0.3">
      <c r="B299" s="337" t="s">
        <v>1104</v>
      </c>
      <c r="C299" s="546" t="s">
        <v>860</v>
      </c>
      <c r="D299" s="158" t="s">
        <v>166</v>
      </c>
      <c r="E299" s="330" t="s">
        <v>166</v>
      </c>
      <c r="F299" s="330" t="s">
        <v>167</v>
      </c>
      <c r="G299" s="330" t="s">
        <v>176</v>
      </c>
      <c r="H299" s="330" t="s">
        <v>63</v>
      </c>
      <c r="I299" s="114"/>
    </row>
    <row r="300" spans="2:9" s="1" customFormat="1" ht="14.4" customHeight="1" x14ac:dyDescent="0.3">
      <c r="B300" s="337" t="s">
        <v>1105</v>
      </c>
      <c r="C300" s="546" t="s">
        <v>861</v>
      </c>
      <c r="D300" s="158" t="s">
        <v>166</v>
      </c>
      <c r="E300" s="330" t="s">
        <v>166</v>
      </c>
      <c r="F300" s="330" t="s">
        <v>167</v>
      </c>
      <c r="G300" s="330" t="s">
        <v>176</v>
      </c>
      <c r="H300" s="330" t="s">
        <v>63</v>
      </c>
      <c r="I300" s="114"/>
    </row>
    <row r="301" spans="2:9" s="1" customFormat="1" ht="14.4" customHeight="1" x14ac:dyDescent="0.3">
      <c r="B301" s="337" t="s">
        <v>1106</v>
      </c>
      <c r="C301" s="546" t="s">
        <v>862</v>
      </c>
      <c r="D301" s="158" t="s">
        <v>166</v>
      </c>
      <c r="E301" s="330" t="s">
        <v>166</v>
      </c>
      <c r="F301" s="330" t="s">
        <v>167</v>
      </c>
      <c r="G301" s="330" t="s">
        <v>176</v>
      </c>
      <c r="H301" s="330" t="s">
        <v>63</v>
      </c>
      <c r="I301" s="114"/>
    </row>
    <row r="302" spans="2:9" s="1" customFormat="1" ht="14.4" customHeight="1" x14ac:dyDescent="0.3">
      <c r="B302" s="337" t="s">
        <v>1107</v>
      </c>
      <c r="C302" s="546" t="s">
        <v>863</v>
      </c>
      <c r="D302" s="158" t="s">
        <v>166</v>
      </c>
      <c r="E302" s="330" t="s">
        <v>166</v>
      </c>
      <c r="F302" s="330" t="s">
        <v>167</v>
      </c>
      <c r="G302" s="330" t="s">
        <v>176</v>
      </c>
      <c r="H302" s="330" t="s">
        <v>63</v>
      </c>
      <c r="I302" s="114"/>
    </row>
    <row r="303" spans="2:9" s="1" customFormat="1" ht="14.4" customHeight="1" x14ac:dyDescent="0.3">
      <c r="B303" s="337" t="s">
        <v>1108</v>
      </c>
      <c r="C303" s="546" t="s">
        <v>864</v>
      </c>
      <c r="D303" s="158" t="s">
        <v>166</v>
      </c>
      <c r="E303" s="330" t="s">
        <v>166</v>
      </c>
      <c r="F303" s="330" t="s">
        <v>167</v>
      </c>
      <c r="G303" s="330" t="s">
        <v>176</v>
      </c>
      <c r="H303" s="330" t="s">
        <v>63</v>
      </c>
      <c r="I303" s="114"/>
    </row>
    <row r="304" spans="2:9" s="1" customFormat="1" ht="14.4" customHeight="1" x14ac:dyDescent="0.3">
      <c r="B304" s="337" t="s">
        <v>1109</v>
      </c>
      <c r="C304" s="546" t="s">
        <v>865</v>
      </c>
      <c r="D304" s="158" t="s">
        <v>166</v>
      </c>
      <c r="E304" s="330" t="s">
        <v>166</v>
      </c>
      <c r="F304" s="330" t="s">
        <v>167</v>
      </c>
      <c r="G304" s="330" t="s">
        <v>176</v>
      </c>
      <c r="H304" s="330" t="s">
        <v>63</v>
      </c>
      <c r="I304" s="114"/>
    </row>
    <row r="305" spans="2:9" s="1" customFormat="1" ht="14.4" customHeight="1" x14ac:dyDescent="0.3">
      <c r="B305" s="337" t="s">
        <v>1110</v>
      </c>
      <c r="C305" s="546" t="s">
        <v>866</v>
      </c>
      <c r="D305" s="158" t="s">
        <v>166</v>
      </c>
      <c r="E305" s="330" t="s">
        <v>166</v>
      </c>
      <c r="F305" s="330" t="s">
        <v>167</v>
      </c>
      <c r="G305" s="330" t="s">
        <v>176</v>
      </c>
      <c r="H305" s="330" t="s">
        <v>63</v>
      </c>
      <c r="I305" s="114"/>
    </row>
    <row r="306" spans="2:9" s="1" customFormat="1" ht="14.4" customHeight="1" x14ac:dyDescent="0.3">
      <c r="B306" s="337" t="s">
        <v>1111</v>
      </c>
      <c r="C306" s="546" t="s">
        <v>867</v>
      </c>
      <c r="D306" s="158" t="s">
        <v>166</v>
      </c>
      <c r="E306" s="330" t="s">
        <v>166</v>
      </c>
      <c r="F306" s="330" t="s">
        <v>167</v>
      </c>
      <c r="G306" s="330" t="s">
        <v>176</v>
      </c>
      <c r="H306" s="330" t="s">
        <v>63</v>
      </c>
      <c r="I306" s="114"/>
    </row>
    <row r="307" spans="2:9" s="1" customFormat="1" ht="14.4" customHeight="1" x14ac:dyDescent="0.3">
      <c r="B307" s="337" t="s">
        <v>1112</v>
      </c>
      <c r="C307" s="546" t="s">
        <v>868</v>
      </c>
      <c r="D307" s="158" t="s">
        <v>166</v>
      </c>
      <c r="E307" s="330" t="s">
        <v>166</v>
      </c>
      <c r="F307" s="330" t="s">
        <v>167</v>
      </c>
      <c r="G307" s="330" t="s">
        <v>176</v>
      </c>
      <c r="H307" s="330" t="s">
        <v>63</v>
      </c>
      <c r="I307" s="114"/>
    </row>
    <row r="308" spans="2:9" s="1" customFormat="1" ht="14.4" customHeight="1" x14ac:dyDescent="0.3">
      <c r="B308" s="337" t="s">
        <v>1113</v>
      </c>
      <c r="C308" s="546" t="s">
        <v>869</v>
      </c>
      <c r="D308" s="158" t="s">
        <v>166</v>
      </c>
      <c r="E308" s="330" t="s">
        <v>166</v>
      </c>
      <c r="F308" s="330" t="s">
        <v>167</v>
      </c>
      <c r="G308" s="330" t="s">
        <v>176</v>
      </c>
      <c r="H308" s="330" t="s">
        <v>63</v>
      </c>
      <c r="I308" s="114"/>
    </row>
    <row r="309" spans="2:9" s="1" customFormat="1" ht="14.4" customHeight="1" x14ac:dyDescent="0.3">
      <c r="B309" s="337" t="s">
        <v>1114</v>
      </c>
      <c r="C309" s="546" t="s">
        <v>870</v>
      </c>
      <c r="D309" s="158" t="s">
        <v>166</v>
      </c>
      <c r="E309" s="330" t="s">
        <v>166</v>
      </c>
      <c r="F309" s="330" t="s">
        <v>167</v>
      </c>
      <c r="G309" s="330" t="s">
        <v>176</v>
      </c>
      <c r="H309" s="330" t="s">
        <v>63</v>
      </c>
      <c r="I309" s="114"/>
    </row>
    <row r="310" spans="2:9" s="1" customFormat="1" ht="14.4" customHeight="1" x14ac:dyDescent="0.3">
      <c r="B310" s="337" t="s">
        <v>1115</v>
      </c>
      <c r="C310" s="546" t="s">
        <v>871</v>
      </c>
      <c r="D310" s="158" t="s">
        <v>166</v>
      </c>
      <c r="E310" s="330" t="s">
        <v>166</v>
      </c>
      <c r="F310" s="330" t="s">
        <v>167</v>
      </c>
      <c r="G310" s="330" t="s">
        <v>176</v>
      </c>
      <c r="H310" s="330" t="s">
        <v>63</v>
      </c>
      <c r="I310" s="114"/>
    </row>
    <row r="311" spans="2:9" s="1" customFormat="1" ht="14.4" customHeight="1" x14ac:dyDescent="0.3">
      <c r="B311" s="337" t="s">
        <v>1116</v>
      </c>
      <c r="C311" s="546" t="s">
        <v>872</v>
      </c>
      <c r="D311" s="158" t="s">
        <v>166</v>
      </c>
      <c r="E311" s="330" t="s">
        <v>166</v>
      </c>
      <c r="F311" s="330" t="s">
        <v>167</v>
      </c>
      <c r="G311" s="330" t="s">
        <v>176</v>
      </c>
      <c r="H311" s="330" t="s">
        <v>63</v>
      </c>
      <c r="I311" s="114"/>
    </row>
    <row r="312" spans="2:9" s="1" customFormat="1" ht="14.4" customHeight="1" x14ac:dyDescent="0.3">
      <c r="B312" s="337" t="s">
        <v>1117</v>
      </c>
      <c r="C312" s="546" t="s">
        <v>873</v>
      </c>
      <c r="D312" s="158" t="s">
        <v>166</v>
      </c>
      <c r="E312" s="330" t="s">
        <v>166</v>
      </c>
      <c r="F312" s="330" t="s">
        <v>167</v>
      </c>
      <c r="G312" s="330" t="s">
        <v>176</v>
      </c>
      <c r="H312" s="330" t="s">
        <v>63</v>
      </c>
      <c r="I312" s="114"/>
    </row>
    <row r="313" spans="2:9" s="1" customFormat="1" ht="14.4" customHeight="1" x14ac:dyDescent="0.3">
      <c r="B313" s="337" t="s">
        <v>1118</v>
      </c>
      <c r="C313" s="546" t="s">
        <v>874</v>
      </c>
      <c r="D313" s="158" t="s">
        <v>166</v>
      </c>
      <c r="E313" s="330" t="s">
        <v>166</v>
      </c>
      <c r="F313" s="330" t="s">
        <v>167</v>
      </c>
      <c r="G313" s="330" t="s">
        <v>176</v>
      </c>
      <c r="H313" s="330" t="s">
        <v>63</v>
      </c>
      <c r="I313" s="114"/>
    </row>
    <row r="314" spans="2:9" s="1" customFormat="1" ht="14.4" customHeight="1" x14ac:dyDescent="0.3">
      <c r="B314" s="337" t="s">
        <v>1119</v>
      </c>
      <c r="C314" s="546" t="s">
        <v>875</v>
      </c>
      <c r="D314" s="158" t="s">
        <v>166</v>
      </c>
      <c r="E314" s="330" t="s">
        <v>166</v>
      </c>
      <c r="F314" s="330" t="s">
        <v>167</v>
      </c>
      <c r="G314" s="330" t="s">
        <v>176</v>
      </c>
      <c r="H314" s="330" t="s">
        <v>63</v>
      </c>
      <c r="I314" s="114"/>
    </row>
    <row r="315" spans="2:9" s="1" customFormat="1" ht="14.4" customHeight="1" x14ac:dyDescent="0.3">
      <c r="B315" s="337" t="s">
        <v>1120</v>
      </c>
      <c r="C315" s="546" t="s">
        <v>876</v>
      </c>
      <c r="D315" s="158" t="s">
        <v>166</v>
      </c>
      <c r="E315" s="330" t="s">
        <v>166</v>
      </c>
      <c r="F315" s="330" t="s">
        <v>167</v>
      </c>
      <c r="G315" s="330" t="s">
        <v>176</v>
      </c>
      <c r="H315" s="330" t="s">
        <v>63</v>
      </c>
      <c r="I315" s="114"/>
    </row>
    <row r="316" spans="2:9" s="1" customFormat="1" ht="14.4" customHeight="1" x14ac:dyDescent="0.3">
      <c r="B316" s="337" t="s">
        <v>1121</v>
      </c>
      <c r="C316" s="546" t="s">
        <v>877</v>
      </c>
      <c r="D316" s="158" t="s">
        <v>166</v>
      </c>
      <c r="E316" s="330" t="s">
        <v>166</v>
      </c>
      <c r="F316" s="330" t="s">
        <v>167</v>
      </c>
      <c r="G316" s="330" t="s">
        <v>176</v>
      </c>
      <c r="H316" s="330" t="s">
        <v>63</v>
      </c>
      <c r="I316" s="114"/>
    </row>
    <row r="317" spans="2:9" s="1" customFormat="1" ht="14.4" customHeight="1" x14ac:dyDescent="0.3">
      <c r="B317" s="337" t="s">
        <v>1122</v>
      </c>
      <c r="C317" s="546" t="s">
        <v>878</v>
      </c>
      <c r="D317" s="158" t="s">
        <v>166</v>
      </c>
      <c r="E317" s="330" t="s">
        <v>166</v>
      </c>
      <c r="F317" s="330" t="s">
        <v>167</v>
      </c>
      <c r="G317" s="330" t="s">
        <v>176</v>
      </c>
      <c r="H317" s="330" t="s">
        <v>63</v>
      </c>
      <c r="I317" s="114"/>
    </row>
    <row r="318" spans="2:9" s="1" customFormat="1" ht="14.4" customHeight="1" x14ac:dyDescent="0.3">
      <c r="B318" s="337" t="s">
        <v>1123</v>
      </c>
      <c r="C318" s="546" t="s">
        <v>879</v>
      </c>
      <c r="D318" s="158" t="s">
        <v>166</v>
      </c>
      <c r="E318" s="330" t="s">
        <v>166</v>
      </c>
      <c r="F318" s="330" t="s">
        <v>167</v>
      </c>
      <c r="G318" s="330" t="s">
        <v>176</v>
      </c>
      <c r="H318" s="330" t="s">
        <v>63</v>
      </c>
      <c r="I318" s="114"/>
    </row>
    <row r="319" spans="2:9" s="1" customFormat="1" ht="26.4" x14ac:dyDescent="0.25">
      <c r="B319" s="337" t="s">
        <v>1124</v>
      </c>
      <c r="C319" s="342" t="s">
        <v>417</v>
      </c>
      <c r="D319" s="158" t="s">
        <v>166</v>
      </c>
      <c r="E319" s="330" t="s">
        <v>166</v>
      </c>
      <c r="F319" s="330" t="s">
        <v>167</v>
      </c>
      <c r="G319" s="330" t="s">
        <v>176</v>
      </c>
      <c r="H319" s="330" t="s">
        <v>63</v>
      </c>
      <c r="I319" s="114" t="s">
        <v>639</v>
      </c>
    </row>
    <row r="320" spans="2:9" s="1" customFormat="1" ht="26.4" x14ac:dyDescent="0.25">
      <c r="B320" s="337" t="s">
        <v>1125</v>
      </c>
      <c r="C320" s="342" t="s">
        <v>420</v>
      </c>
      <c r="D320" s="158" t="s">
        <v>166</v>
      </c>
      <c r="E320" s="330" t="s">
        <v>166</v>
      </c>
      <c r="F320" s="330" t="s">
        <v>396</v>
      </c>
      <c r="G320" s="330" t="s">
        <v>176</v>
      </c>
      <c r="H320" s="330" t="s">
        <v>63</v>
      </c>
      <c r="I320" s="114" t="s">
        <v>639</v>
      </c>
    </row>
    <row r="321" spans="1:11" ht="26.4" x14ac:dyDescent="0.25">
      <c r="A321" s="1"/>
      <c r="B321" s="337" t="s">
        <v>1126</v>
      </c>
      <c r="C321" s="342" t="s">
        <v>425</v>
      </c>
      <c r="D321" s="158" t="s">
        <v>166</v>
      </c>
      <c r="E321" s="330" t="s">
        <v>166</v>
      </c>
      <c r="F321" s="330" t="s">
        <v>167</v>
      </c>
      <c r="G321" s="330" t="s">
        <v>176</v>
      </c>
      <c r="H321" s="330" t="s">
        <v>63</v>
      </c>
      <c r="I321" s="114" t="s">
        <v>639</v>
      </c>
      <c r="J321" s="1"/>
      <c r="K321" s="1"/>
    </row>
    <row r="322" spans="1:11" ht="26.4" x14ac:dyDescent="0.25">
      <c r="A322" s="1"/>
      <c r="B322" s="337" t="s">
        <v>1127</v>
      </c>
      <c r="C322" s="342" t="s">
        <v>427</v>
      </c>
      <c r="D322" s="158" t="s">
        <v>166</v>
      </c>
      <c r="E322" s="330" t="s">
        <v>166</v>
      </c>
      <c r="F322" s="330" t="s">
        <v>396</v>
      </c>
      <c r="G322" s="330" t="s">
        <v>176</v>
      </c>
      <c r="H322" s="330" t="s">
        <v>63</v>
      </c>
      <c r="I322" s="114" t="s">
        <v>639</v>
      </c>
      <c r="J322" s="1"/>
      <c r="K322" s="1"/>
    </row>
    <row r="323" spans="1:11" ht="26.4" x14ac:dyDescent="0.25">
      <c r="A323" s="1"/>
      <c r="B323" s="337" t="s">
        <v>1128</v>
      </c>
      <c r="C323" s="342" t="s">
        <v>430</v>
      </c>
      <c r="D323" s="158" t="s">
        <v>166</v>
      </c>
      <c r="E323" s="330" t="s">
        <v>166</v>
      </c>
      <c r="F323" s="330" t="s">
        <v>167</v>
      </c>
      <c r="G323" s="330" t="s">
        <v>176</v>
      </c>
      <c r="H323" s="330" t="s">
        <v>63</v>
      </c>
      <c r="I323" s="114" t="s">
        <v>639</v>
      </c>
      <c r="J323" s="1"/>
      <c r="K323" s="1"/>
    </row>
    <row r="324" spans="1:11" ht="14.4" customHeight="1" x14ac:dyDescent="0.25">
      <c r="A324" s="1"/>
      <c r="B324" s="337" t="s">
        <v>1129</v>
      </c>
      <c r="C324" s="342" t="s">
        <v>432</v>
      </c>
      <c r="D324" s="158" t="s">
        <v>166</v>
      </c>
      <c r="E324" s="330" t="s">
        <v>166</v>
      </c>
      <c r="F324" s="330" t="s">
        <v>396</v>
      </c>
      <c r="G324" s="330" t="s">
        <v>176</v>
      </c>
      <c r="H324" s="330" t="s">
        <v>63</v>
      </c>
      <c r="I324" s="114" t="s">
        <v>639</v>
      </c>
      <c r="J324" s="1"/>
      <c r="K324" s="1"/>
    </row>
    <row r="325" spans="1:11" ht="26.4" x14ac:dyDescent="0.25">
      <c r="A325" s="1"/>
      <c r="B325" s="337" t="s">
        <v>1130</v>
      </c>
      <c r="C325" s="342" t="s">
        <v>433</v>
      </c>
      <c r="D325" s="158" t="s">
        <v>166</v>
      </c>
      <c r="E325" s="330" t="s">
        <v>166</v>
      </c>
      <c r="F325" s="330" t="s">
        <v>167</v>
      </c>
      <c r="G325" s="330" t="s">
        <v>176</v>
      </c>
      <c r="H325" s="330" t="s">
        <v>63</v>
      </c>
      <c r="I325" s="114" t="s">
        <v>639</v>
      </c>
      <c r="J325" s="1"/>
      <c r="K325" s="1"/>
    </row>
    <row r="326" spans="1:11" ht="14.4" customHeight="1" x14ac:dyDescent="0.25">
      <c r="A326" s="1"/>
      <c r="B326" s="337" t="s">
        <v>1131</v>
      </c>
      <c r="C326" s="342" t="s">
        <v>434</v>
      </c>
      <c r="D326" s="158" t="s">
        <v>166</v>
      </c>
      <c r="E326" s="330" t="s">
        <v>166</v>
      </c>
      <c r="F326" s="330" t="s">
        <v>396</v>
      </c>
      <c r="G326" s="330" t="s">
        <v>176</v>
      </c>
      <c r="H326" s="330" t="s">
        <v>63</v>
      </c>
      <c r="I326" s="114" t="s">
        <v>639</v>
      </c>
      <c r="J326" s="1"/>
      <c r="K326" s="1"/>
    </row>
    <row r="327" spans="1:11" ht="14.4" customHeight="1" x14ac:dyDescent="0.25">
      <c r="A327" s="1"/>
      <c r="B327" s="337" t="s">
        <v>1132</v>
      </c>
      <c r="C327" s="342" t="s">
        <v>435</v>
      </c>
      <c r="D327" s="158" t="s">
        <v>166</v>
      </c>
      <c r="E327" s="330" t="s">
        <v>166</v>
      </c>
      <c r="F327" s="330" t="s">
        <v>396</v>
      </c>
      <c r="G327" s="330" t="s">
        <v>176</v>
      </c>
      <c r="H327" s="330" t="s">
        <v>63</v>
      </c>
      <c r="I327" s="114" t="s">
        <v>639</v>
      </c>
      <c r="J327" s="1"/>
      <c r="K327" s="1"/>
    </row>
    <row r="328" spans="1:11" ht="26.4" x14ac:dyDescent="0.25">
      <c r="A328" s="1"/>
      <c r="B328" s="337" t="s">
        <v>1133</v>
      </c>
      <c r="C328" s="342" t="s">
        <v>448</v>
      </c>
      <c r="D328" s="158" t="s">
        <v>166</v>
      </c>
      <c r="E328" s="330" t="s">
        <v>166</v>
      </c>
      <c r="F328" s="330" t="s">
        <v>396</v>
      </c>
      <c r="G328" s="330" t="s">
        <v>176</v>
      </c>
      <c r="H328" s="330" t="s">
        <v>63</v>
      </c>
      <c r="I328" s="114" t="s">
        <v>639</v>
      </c>
      <c r="J328" s="1"/>
      <c r="K328" s="1"/>
    </row>
    <row r="329" spans="1:11" ht="26.4" x14ac:dyDescent="0.25">
      <c r="A329" s="1"/>
      <c r="B329" s="337" t="s">
        <v>1134</v>
      </c>
      <c r="C329" s="342" t="s">
        <v>468</v>
      </c>
      <c r="D329" s="158" t="s">
        <v>166</v>
      </c>
      <c r="E329" s="330" t="s">
        <v>166</v>
      </c>
      <c r="F329" s="330" t="s">
        <v>167</v>
      </c>
      <c r="G329" s="330" t="s">
        <v>176</v>
      </c>
      <c r="H329" s="330" t="s">
        <v>63</v>
      </c>
      <c r="I329" s="114" t="s">
        <v>639</v>
      </c>
      <c r="J329" s="1"/>
      <c r="K329" s="1"/>
    </row>
    <row r="330" spans="1:11" ht="26.4" x14ac:dyDescent="0.25">
      <c r="A330" s="1"/>
      <c r="B330" s="337" t="s">
        <v>1135</v>
      </c>
      <c r="C330" s="342" t="s">
        <v>470</v>
      </c>
      <c r="D330" s="158" t="s">
        <v>166</v>
      </c>
      <c r="E330" s="330" t="s">
        <v>166</v>
      </c>
      <c r="F330" s="330" t="s">
        <v>396</v>
      </c>
      <c r="G330" s="330" t="s">
        <v>176</v>
      </c>
      <c r="H330" s="330" t="s">
        <v>63</v>
      </c>
      <c r="I330" s="114" t="s">
        <v>639</v>
      </c>
      <c r="J330" s="1"/>
      <c r="K330" s="1"/>
    </row>
    <row r="331" spans="1:11" ht="26.4" x14ac:dyDescent="0.25">
      <c r="B331" s="337" t="s">
        <v>1136</v>
      </c>
      <c r="C331" s="342" t="s">
        <v>472</v>
      </c>
      <c r="D331" s="158" t="s">
        <v>166</v>
      </c>
      <c r="E331" s="330" t="s">
        <v>166</v>
      </c>
      <c r="F331" s="330" t="s">
        <v>396</v>
      </c>
      <c r="G331" s="330" t="s">
        <v>176</v>
      </c>
      <c r="H331" s="330" t="s">
        <v>63</v>
      </c>
      <c r="I331" s="114" t="s">
        <v>639</v>
      </c>
    </row>
    <row r="332" spans="1:11" ht="26.4" x14ac:dyDescent="0.25">
      <c r="B332" s="337" t="s">
        <v>1137</v>
      </c>
      <c r="C332" s="343" t="s">
        <v>641</v>
      </c>
      <c r="D332" s="158" t="s">
        <v>166</v>
      </c>
      <c r="E332" s="330" t="s">
        <v>166</v>
      </c>
      <c r="F332" s="330" t="s">
        <v>167</v>
      </c>
      <c r="G332" s="330" t="s">
        <v>176</v>
      </c>
      <c r="H332" s="330" t="s">
        <v>63</v>
      </c>
      <c r="I332" s="114" t="s">
        <v>639</v>
      </c>
    </row>
    <row r="333" spans="1:11" ht="26.4" x14ac:dyDescent="0.25">
      <c r="B333" s="337" t="s">
        <v>1138</v>
      </c>
      <c r="C333" s="343" t="s">
        <v>642</v>
      </c>
      <c r="D333" s="158" t="s">
        <v>166</v>
      </c>
      <c r="E333" s="330" t="s">
        <v>166</v>
      </c>
      <c r="F333" s="330" t="s">
        <v>396</v>
      </c>
      <c r="G333" s="330" t="s">
        <v>176</v>
      </c>
      <c r="H333" s="330" t="s">
        <v>63</v>
      </c>
      <c r="I333" s="114" t="s">
        <v>639</v>
      </c>
    </row>
    <row r="334" spans="1:11" ht="26.4" x14ac:dyDescent="0.25">
      <c r="B334" s="337" t="s">
        <v>1139</v>
      </c>
      <c r="C334" s="342" t="s">
        <v>482</v>
      </c>
      <c r="D334" s="158" t="s">
        <v>166</v>
      </c>
      <c r="E334" s="330" t="s">
        <v>166</v>
      </c>
      <c r="F334" s="330" t="s">
        <v>396</v>
      </c>
      <c r="G334" s="330" t="s">
        <v>176</v>
      </c>
      <c r="H334" s="330" t="s">
        <v>63</v>
      </c>
      <c r="I334" s="114" t="s">
        <v>639</v>
      </c>
    </row>
    <row r="335" spans="1:11" ht="26.4" x14ac:dyDescent="0.25">
      <c r="B335" s="337" t="s">
        <v>1140</v>
      </c>
      <c r="C335" s="342" t="s">
        <v>485</v>
      </c>
      <c r="D335" s="158" t="s">
        <v>166</v>
      </c>
      <c r="E335" s="330" t="s">
        <v>166</v>
      </c>
      <c r="F335" s="330" t="s">
        <v>396</v>
      </c>
      <c r="G335" s="330" t="s">
        <v>176</v>
      </c>
      <c r="H335" s="330" t="s">
        <v>63</v>
      </c>
      <c r="I335" s="114" t="s">
        <v>639</v>
      </c>
    </row>
    <row r="336" spans="1:11" ht="26.4" x14ac:dyDescent="0.25">
      <c r="B336" s="337" t="s">
        <v>1141</v>
      </c>
      <c r="C336" s="342" t="s">
        <v>488</v>
      </c>
      <c r="D336" s="158" t="s">
        <v>166</v>
      </c>
      <c r="E336" s="330" t="s">
        <v>166</v>
      </c>
      <c r="F336" s="330" t="s">
        <v>396</v>
      </c>
      <c r="G336" s="330" t="s">
        <v>176</v>
      </c>
      <c r="H336" s="330" t="s">
        <v>63</v>
      </c>
      <c r="I336" s="114" t="s">
        <v>639</v>
      </c>
    </row>
    <row r="337" spans="2:9" ht="26.4" x14ac:dyDescent="0.25">
      <c r="B337" s="337" t="s">
        <v>1142</v>
      </c>
      <c r="C337" s="342" t="s">
        <v>490</v>
      </c>
      <c r="D337" s="158" t="s">
        <v>166</v>
      </c>
      <c r="E337" s="330" t="s">
        <v>166</v>
      </c>
      <c r="F337" s="330" t="s">
        <v>167</v>
      </c>
      <c r="G337" s="330" t="s">
        <v>176</v>
      </c>
      <c r="H337" s="330" t="s">
        <v>63</v>
      </c>
      <c r="I337" s="114" t="s">
        <v>639</v>
      </c>
    </row>
    <row r="338" spans="2:9" ht="26.4" x14ac:dyDescent="0.25">
      <c r="B338" s="337" t="s">
        <v>1143</v>
      </c>
      <c r="C338" s="342" t="s">
        <v>493</v>
      </c>
      <c r="D338" s="158" t="s">
        <v>166</v>
      </c>
      <c r="E338" s="330" t="s">
        <v>166</v>
      </c>
      <c r="F338" s="330" t="s">
        <v>396</v>
      </c>
      <c r="G338" s="330" t="s">
        <v>176</v>
      </c>
      <c r="H338" s="330" t="s">
        <v>63</v>
      </c>
      <c r="I338" s="114" t="s">
        <v>639</v>
      </c>
    </row>
    <row r="339" spans="2:9" ht="26.4" x14ac:dyDescent="0.25">
      <c r="B339" s="337" t="s">
        <v>1144</v>
      </c>
      <c r="C339" s="342" t="s">
        <v>496</v>
      </c>
      <c r="D339" s="158" t="s">
        <v>166</v>
      </c>
      <c r="E339" s="330" t="s">
        <v>166</v>
      </c>
      <c r="F339" s="330" t="s">
        <v>396</v>
      </c>
      <c r="G339" s="330" t="s">
        <v>176</v>
      </c>
      <c r="H339" s="330" t="s">
        <v>63</v>
      </c>
      <c r="I339" s="114" t="s">
        <v>639</v>
      </c>
    </row>
    <row r="340" spans="2:9" ht="26.4" x14ac:dyDescent="0.25">
      <c r="B340" s="337" t="s">
        <v>1145</v>
      </c>
      <c r="C340" s="342" t="s">
        <v>635</v>
      </c>
      <c r="D340" s="158" t="s">
        <v>166</v>
      </c>
      <c r="E340" s="330" t="s">
        <v>166</v>
      </c>
      <c r="F340" s="330" t="s">
        <v>396</v>
      </c>
      <c r="G340" s="330" t="s">
        <v>176</v>
      </c>
      <c r="H340" s="330" t="s">
        <v>63</v>
      </c>
      <c r="I340" s="114" t="s">
        <v>639</v>
      </c>
    </row>
    <row r="341" spans="2:9" ht="26.4" x14ac:dyDescent="0.25">
      <c r="B341" s="337" t="s">
        <v>1146</v>
      </c>
      <c r="C341" s="342" t="s">
        <v>501</v>
      </c>
      <c r="D341" s="158" t="s">
        <v>166</v>
      </c>
      <c r="E341" s="330" t="s">
        <v>166</v>
      </c>
      <c r="F341" s="330" t="s">
        <v>396</v>
      </c>
      <c r="G341" s="330" t="s">
        <v>176</v>
      </c>
      <c r="H341" s="330" t="s">
        <v>63</v>
      </c>
      <c r="I341" s="114" t="s">
        <v>639</v>
      </c>
    </row>
    <row r="342" spans="2:9" ht="26.4" x14ac:dyDescent="0.25">
      <c r="B342" s="337" t="s">
        <v>1147</v>
      </c>
      <c r="C342" s="330" t="s">
        <v>655</v>
      </c>
      <c r="D342" s="158" t="s">
        <v>166</v>
      </c>
      <c r="E342" s="330" t="s">
        <v>166</v>
      </c>
      <c r="F342" s="330" t="s">
        <v>167</v>
      </c>
      <c r="G342" s="330" t="s">
        <v>176</v>
      </c>
      <c r="H342" s="330" t="s">
        <v>63</v>
      </c>
      <c r="I342" s="114" t="s">
        <v>639</v>
      </c>
    </row>
    <row r="343" spans="2:9" ht="26.4" x14ac:dyDescent="0.25">
      <c r="B343" s="337" t="s">
        <v>1148</v>
      </c>
      <c r="C343" s="330" t="s">
        <v>513</v>
      </c>
      <c r="D343" s="158" t="s">
        <v>166</v>
      </c>
      <c r="E343" s="330" t="s">
        <v>166</v>
      </c>
      <c r="F343" s="330" t="s">
        <v>396</v>
      </c>
      <c r="G343" s="330" t="s">
        <v>176</v>
      </c>
      <c r="H343" s="330" t="s">
        <v>63</v>
      </c>
      <c r="I343" s="114" t="s">
        <v>639</v>
      </c>
    </row>
    <row r="344" spans="2:9" ht="26.4" x14ac:dyDescent="0.25">
      <c r="B344" s="337" t="s">
        <v>1149</v>
      </c>
      <c r="C344" s="330" t="s">
        <v>636</v>
      </c>
      <c r="D344" s="158" t="s">
        <v>166</v>
      </c>
      <c r="E344" s="330" t="s">
        <v>166</v>
      </c>
      <c r="F344" s="330" t="s">
        <v>396</v>
      </c>
      <c r="G344" s="330" t="s">
        <v>176</v>
      </c>
      <c r="H344" s="330" t="s">
        <v>63</v>
      </c>
      <c r="I344" s="114" t="s">
        <v>639</v>
      </c>
    </row>
    <row r="345" spans="2:9" ht="26.4" x14ac:dyDescent="0.25">
      <c r="B345" s="337" t="s">
        <v>1150</v>
      </c>
      <c r="C345" s="330" t="s">
        <v>524</v>
      </c>
      <c r="D345" s="158" t="s">
        <v>166</v>
      </c>
      <c r="E345" s="330" t="s">
        <v>166</v>
      </c>
      <c r="F345" s="330" t="s">
        <v>396</v>
      </c>
      <c r="G345" s="330" t="s">
        <v>176</v>
      </c>
      <c r="H345" s="330" t="s">
        <v>63</v>
      </c>
      <c r="I345" s="114" t="s">
        <v>639</v>
      </c>
    </row>
    <row r="346" spans="2:9" ht="26.4" x14ac:dyDescent="0.25">
      <c r="B346" s="337" t="s">
        <v>1151</v>
      </c>
      <c r="C346" s="330" t="s">
        <v>527</v>
      </c>
      <c r="D346" s="158" t="s">
        <v>166</v>
      </c>
      <c r="E346" s="330" t="s">
        <v>166</v>
      </c>
      <c r="F346" s="330" t="s">
        <v>167</v>
      </c>
      <c r="G346" s="330" t="s">
        <v>176</v>
      </c>
      <c r="H346" s="330" t="s">
        <v>63</v>
      </c>
      <c r="I346" s="114" t="s">
        <v>639</v>
      </c>
    </row>
    <row r="347" spans="2:9" ht="26.4" x14ac:dyDescent="0.25">
      <c r="B347" s="337" t="s">
        <v>1152</v>
      </c>
      <c r="C347" s="330" t="s">
        <v>529</v>
      </c>
      <c r="D347" s="158" t="s">
        <v>166</v>
      </c>
      <c r="E347" s="330" t="s">
        <v>166</v>
      </c>
      <c r="F347" s="330" t="s">
        <v>396</v>
      </c>
      <c r="G347" s="330" t="s">
        <v>176</v>
      </c>
      <c r="H347" s="330" t="s">
        <v>63</v>
      </c>
      <c r="I347" s="114" t="s">
        <v>639</v>
      </c>
    </row>
    <row r="348" spans="2:9" ht="26.4" x14ac:dyDescent="0.25">
      <c r="B348" s="337" t="s">
        <v>1153</v>
      </c>
      <c r="C348" s="330" t="s">
        <v>482</v>
      </c>
      <c r="D348" s="158" t="s">
        <v>166</v>
      </c>
      <c r="E348" s="330" t="s">
        <v>166</v>
      </c>
      <c r="F348" s="330" t="s">
        <v>167</v>
      </c>
      <c r="G348" s="330" t="s">
        <v>176</v>
      </c>
      <c r="H348" s="330" t="s">
        <v>63</v>
      </c>
      <c r="I348" s="114" t="s">
        <v>639</v>
      </c>
    </row>
    <row r="349" spans="2:9" ht="26.4" x14ac:dyDescent="0.25">
      <c r="B349" s="337" t="s">
        <v>1154</v>
      </c>
      <c r="C349" s="330" t="s">
        <v>535</v>
      </c>
      <c r="D349" s="158" t="s">
        <v>166</v>
      </c>
      <c r="E349" s="330" t="s">
        <v>166</v>
      </c>
      <c r="F349" s="330" t="s">
        <v>396</v>
      </c>
      <c r="G349" s="330" t="s">
        <v>176</v>
      </c>
      <c r="H349" s="330" t="s">
        <v>63</v>
      </c>
      <c r="I349" s="114" t="s">
        <v>639</v>
      </c>
    </row>
    <row r="350" spans="2:9" ht="26.4" x14ac:dyDescent="0.25">
      <c r="B350" s="337" t="s">
        <v>1155</v>
      </c>
      <c r="C350" s="330" t="s">
        <v>539</v>
      </c>
      <c r="D350" s="158" t="s">
        <v>166</v>
      </c>
      <c r="E350" s="330" t="s">
        <v>166</v>
      </c>
      <c r="F350" s="330" t="s">
        <v>167</v>
      </c>
      <c r="G350" s="330" t="s">
        <v>176</v>
      </c>
      <c r="H350" s="330" t="s">
        <v>63</v>
      </c>
      <c r="I350" s="114" t="s">
        <v>639</v>
      </c>
    </row>
    <row r="351" spans="2:9" ht="26.4" x14ac:dyDescent="0.25">
      <c r="B351" s="337" t="s">
        <v>1156</v>
      </c>
      <c r="C351" s="330" t="s">
        <v>542</v>
      </c>
      <c r="D351" s="158" t="s">
        <v>166</v>
      </c>
      <c r="E351" s="330" t="s">
        <v>166</v>
      </c>
      <c r="F351" s="330" t="s">
        <v>167</v>
      </c>
      <c r="G351" s="330" t="s">
        <v>176</v>
      </c>
      <c r="H351" s="330" t="s">
        <v>63</v>
      </c>
      <c r="I351" s="114" t="s">
        <v>639</v>
      </c>
    </row>
    <row r="352" spans="2:9" ht="26.4" x14ac:dyDescent="0.25">
      <c r="B352" s="337" t="s">
        <v>1157</v>
      </c>
      <c r="C352" s="330" t="s">
        <v>544</v>
      </c>
      <c r="D352" s="158" t="s">
        <v>166</v>
      </c>
      <c r="E352" s="330" t="s">
        <v>166</v>
      </c>
      <c r="F352" s="330" t="s">
        <v>167</v>
      </c>
      <c r="G352" s="330" t="s">
        <v>176</v>
      </c>
      <c r="H352" s="330" t="s">
        <v>63</v>
      </c>
      <c r="I352" s="114" t="s">
        <v>639</v>
      </c>
    </row>
    <row r="353" spans="2:9" ht="26.4" x14ac:dyDescent="0.25">
      <c r="B353" s="337" t="s">
        <v>1158</v>
      </c>
      <c r="C353" s="330" t="s">
        <v>546</v>
      </c>
      <c r="D353" s="158" t="s">
        <v>166</v>
      </c>
      <c r="E353" s="330" t="s">
        <v>166</v>
      </c>
      <c r="F353" s="330" t="s">
        <v>396</v>
      </c>
      <c r="G353" s="330" t="s">
        <v>176</v>
      </c>
      <c r="H353" s="330" t="s">
        <v>63</v>
      </c>
      <c r="I353" s="114" t="s">
        <v>639</v>
      </c>
    </row>
    <row r="354" spans="2:9" ht="26.4" x14ac:dyDescent="0.25">
      <c r="B354" s="337" t="s">
        <v>1159</v>
      </c>
      <c r="C354" s="330" t="s">
        <v>547</v>
      </c>
      <c r="D354" s="158" t="s">
        <v>166</v>
      </c>
      <c r="E354" s="330" t="s">
        <v>166</v>
      </c>
      <c r="F354" s="330" t="s">
        <v>167</v>
      </c>
      <c r="G354" s="330" t="s">
        <v>176</v>
      </c>
      <c r="H354" s="330" t="s">
        <v>63</v>
      </c>
      <c r="I354" s="114" t="s">
        <v>639</v>
      </c>
    </row>
    <row r="355" spans="2:9" ht="26.4" x14ac:dyDescent="0.25">
      <c r="B355" s="337" t="s">
        <v>1160</v>
      </c>
      <c r="C355" s="330" t="s">
        <v>548</v>
      </c>
      <c r="D355" s="158" t="s">
        <v>166</v>
      </c>
      <c r="E355" s="330" t="s">
        <v>166</v>
      </c>
      <c r="F355" s="330" t="s">
        <v>396</v>
      </c>
      <c r="G355" s="330" t="s">
        <v>176</v>
      </c>
      <c r="H355" s="330" t="s">
        <v>63</v>
      </c>
      <c r="I355" s="114" t="s">
        <v>639</v>
      </c>
    </row>
    <row r="356" spans="2:9" ht="26.4" x14ac:dyDescent="0.25">
      <c r="B356" s="337" t="s">
        <v>1161</v>
      </c>
      <c r="C356" s="330" t="s">
        <v>549</v>
      </c>
      <c r="D356" s="158" t="s">
        <v>166</v>
      </c>
      <c r="E356" s="330" t="s">
        <v>166</v>
      </c>
      <c r="F356" s="330" t="s">
        <v>396</v>
      </c>
      <c r="G356" s="330" t="s">
        <v>176</v>
      </c>
      <c r="H356" s="330" t="s">
        <v>63</v>
      </c>
      <c r="I356" s="114" t="s">
        <v>639</v>
      </c>
    </row>
    <row r="357" spans="2:9" ht="26.4" x14ac:dyDescent="0.25">
      <c r="B357" s="337" t="s">
        <v>1162</v>
      </c>
      <c r="C357" s="330" t="s">
        <v>550</v>
      </c>
      <c r="D357" s="158" t="s">
        <v>166</v>
      </c>
      <c r="E357" s="330" t="s">
        <v>166</v>
      </c>
      <c r="F357" s="330" t="s">
        <v>396</v>
      </c>
      <c r="G357" s="330" t="s">
        <v>176</v>
      </c>
      <c r="H357" s="330" t="s">
        <v>63</v>
      </c>
      <c r="I357" s="114" t="s">
        <v>639</v>
      </c>
    </row>
    <row r="358" spans="2:9" ht="26.4" x14ac:dyDescent="0.25">
      <c r="B358" s="337" t="s">
        <v>1163</v>
      </c>
      <c r="C358" s="330" t="s">
        <v>551</v>
      </c>
      <c r="D358" s="158" t="s">
        <v>166</v>
      </c>
      <c r="E358" s="330" t="s">
        <v>166</v>
      </c>
      <c r="F358" s="330" t="s">
        <v>396</v>
      </c>
      <c r="G358" s="330" t="s">
        <v>176</v>
      </c>
      <c r="H358" s="330" t="s">
        <v>63</v>
      </c>
      <c r="I358" s="114" t="s">
        <v>639</v>
      </c>
    </row>
    <row r="359" spans="2:9" ht="26.4" x14ac:dyDescent="0.25">
      <c r="B359" s="337" t="s">
        <v>1164</v>
      </c>
      <c r="C359" s="330" t="s">
        <v>562</v>
      </c>
      <c r="D359" s="158" t="s">
        <v>166</v>
      </c>
      <c r="E359" s="330" t="s">
        <v>166</v>
      </c>
      <c r="F359" s="330" t="s">
        <v>167</v>
      </c>
      <c r="G359" s="330" t="s">
        <v>176</v>
      </c>
      <c r="H359" s="330" t="s">
        <v>63</v>
      </c>
      <c r="I359" s="114" t="s">
        <v>639</v>
      </c>
    </row>
    <row r="360" spans="2:9" ht="26.4" x14ac:dyDescent="0.25">
      <c r="B360" s="337" t="s">
        <v>1165</v>
      </c>
      <c r="C360" s="330" t="s">
        <v>563</v>
      </c>
      <c r="D360" s="158" t="s">
        <v>166</v>
      </c>
      <c r="E360" s="330" t="s">
        <v>166</v>
      </c>
      <c r="F360" s="330" t="s">
        <v>396</v>
      </c>
      <c r="G360" s="330" t="s">
        <v>176</v>
      </c>
      <c r="H360" s="330" t="s">
        <v>63</v>
      </c>
      <c r="I360" s="114" t="s">
        <v>639</v>
      </c>
    </row>
    <row r="361" spans="2:9" ht="26.4" x14ac:dyDescent="0.25">
      <c r="B361" s="337" t="s">
        <v>1166</v>
      </c>
      <c r="C361" s="330" t="s">
        <v>564</v>
      </c>
      <c r="D361" s="158" t="s">
        <v>166</v>
      </c>
      <c r="E361" s="330" t="s">
        <v>166</v>
      </c>
      <c r="F361" s="330" t="s">
        <v>167</v>
      </c>
      <c r="G361" s="330" t="s">
        <v>176</v>
      </c>
      <c r="H361" s="330" t="s">
        <v>63</v>
      </c>
      <c r="I361" s="114" t="s">
        <v>639</v>
      </c>
    </row>
    <row r="362" spans="2:9" ht="26.4" x14ac:dyDescent="0.25">
      <c r="B362" s="337" t="s">
        <v>1167</v>
      </c>
      <c r="C362" s="330" t="s">
        <v>565</v>
      </c>
      <c r="D362" s="158" t="s">
        <v>166</v>
      </c>
      <c r="E362" s="330" t="s">
        <v>166</v>
      </c>
      <c r="F362" s="330" t="s">
        <v>396</v>
      </c>
      <c r="G362" s="330" t="s">
        <v>176</v>
      </c>
      <c r="H362" s="330" t="s">
        <v>63</v>
      </c>
      <c r="I362" s="114" t="s">
        <v>639</v>
      </c>
    </row>
    <row r="363" spans="2:9" ht="26.4" x14ac:dyDescent="0.25">
      <c r="B363" s="337" t="s">
        <v>1168</v>
      </c>
      <c r="C363" s="330" t="s">
        <v>570</v>
      </c>
      <c r="D363" s="158" t="s">
        <v>166</v>
      </c>
      <c r="E363" s="330" t="s">
        <v>166</v>
      </c>
      <c r="F363" s="330" t="s">
        <v>396</v>
      </c>
      <c r="G363" s="330" t="s">
        <v>176</v>
      </c>
      <c r="H363" s="330" t="s">
        <v>63</v>
      </c>
      <c r="I363" s="114" t="s">
        <v>639</v>
      </c>
    </row>
    <row r="364" spans="2:9" ht="26.4" x14ac:dyDescent="0.25">
      <c r="B364" s="337" t="s">
        <v>1169</v>
      </c>
      <c r="C364" s="330" t="s">
        <v>571</v>
      </c>
      <c r="D364" s="158" t="s">
        <v>166</v>
      </c>
      <c r="E364" s="330" t="s">
        <v>166</v>
      </c>
      <c r="F364" s="330" t="s">
        <v>167</v>
      </c>
      <c r="G364" s="330" t="s">
        <v>176</v>
      </c>
      <c r="H364" s="330" t="s">
        <v>63</v>
      </c>
      <c r="I364" s="114" t="s">
        <v>639</v>
      </c>
    </row>
    <row r="365" spans="2:9" ht="26.4" x14ac:dyDescent="0.25">
      <c r="B365" s="337" t="s">
        <v>1170</v>
      </c>
      <c r="C365" s="330" t="s">
        <v>572</v>
      </c>
      <c r="D365" s="158" t="s">
        <v>166</v>
      </c>
      <c r="E365" s="330" t="s">
        <v>166</v>
      </c>
      <c r="F365" s="330" t="s">
        <v>396</v>
      </c>
      <c r="G365" s="330" t="s">
        <v>176</v>
      </c>
      <c r="H365" s="330" t="s">
        <v>63</v>
      </c>
      <c r="I365" s="114" t="s">
        <v>639</v>
      </c>
    </row>
    <row r="366" spans="2:9" ht="26.4" x14ac:dyDescent="0.25">
      <c r="B366" s="337" t="s">
        <v>1171</v>
      </c>
      <c r="C366" s="547" t="s">
        <v>573</v>
      </c>
      <c r="D366" s="158" t="s">
        <v>166</v>
      </c>
      <c r="E366" s="330" t="s">
        <v>166</v>
      </c>
      <c r="F366" s="330" t="s">
        <v>167</v>
      </c>
      <c r="G366" s="330" t="s">
        <v>176</v>
      </c>
      <c r="H366" s="330" t="s">
        <v>63</v>
      </c>
      <c r="I366" s="114" t="s">
        <v>639</v>
      </c>
    </row>
    <row r="367" spans="2:9" ht="26.4" x14ac:dyDescent="0.25">
      <c r="B367" s="337" t="s">
        <v>1172</v>
      </c>
      <c r="C367" s="547" t="s">
        <v>574</v>
      </c>
      <c r="D367" s="158" t="s">
        <v>166</v>
      </c>
      <c r="E367" s="330" t="s">
        <v>166</v>
      </c>
      <c r="F367" s="330" t="s">
        <v>167</v>
      </c>
      <c r="G367" s="330" t="s">
        <v>176</v>
      </c>
      <c r="H367" s="330" t="s">
        <v>63</v>
      </c>
      <c r="I367" s="114" t="s">
        <v>639</v>
      </c>
    </row>
    <row r="368" spans="2:9" ht="26.4" x14ac:dyDescent="0.25">
      <c r="B368" s="337" t="s">
        <v>1173</v>
      </c>
      <c r="C368" s="547" t="s">
        <v>575</v>
      </c>
      <c r="D368" s="158" t="s">
        <v>166</v>
      </c>
      <c r="E368" s="330" t="s">
        <v>166</v>
      </c>
      <c r="F368" s="330" t="s">
        <v>167</v>
      </c>
      <c r="G368" s="330" t="s">
        <v>176</v>
      </c>
      <c r="H368" s="330" t="s">
        <v>63</v>
      </c>
      <c r="I368" s="114" t="s">
        <v>639</v>
      </c>
    </row>
    <row r="369" spans="2:9" ht="26.4" x14ac:dyDescent="0.25">
      <c r="B369" s="337" t="s">
        <v>1174</v>
      </c>
      <c r="C369" s="547" t="s">
        <v>576</v>
      </c>
      <c r="D369" s="158" t="s">
        <v>166</v>
      </c>
      <c r="E369" s="330" t="s">
        <v>166</v>
      </c>
      <c r="F369" s="330" t="s">
        <v>167</v>
      </c>
      <c r="G369" s="330" t="s">
        <v>176</v>
      </c>
      <c r="H369" s="330" t="s">
        <v>63</v>
      </c>
      <c r="I369" s="114" t="s">
        <v>639</v>
      </c>
    </row>
    <row r="370" spans="2:9" ht="26.4" x14ac:dyDescent="0.25">
      <c r="B370" s="337" t="s">
        <v>1175</v>
      </c>
      <c r="C370" s="547" t="s">
        <v>577</v>
      </c>
      <c r="D370" s="158" t="s">
        <v>166</v>
      </c>
      <c r="E370" s="330" t="s">
        <v>166</v>
      </c>
      <c r="F370" s="330" t="s">
        <v>167</v>
      </c>
      <c r="G370" s="330" t="s">
        <v>176</v>
      </c>
      <c r="H370" s="330" t="s">
        <v>63</v>
      </c>
      <c r="I370" s="114" t="s">
        <v>639</v>
      </c>
    </row>
    <row r="371" spans="2:9" ht="26.4" x14ac:dyDescent="0.25">
      <c r="B371" s="337" t="s">
        <v>1176</v>
      </c>
      <c r="C371" s="547" t="s">
        <v>578</v>
      </c>
      <c r="D371" s="158" t="s">
        <v>166</v>
      </c>
      <c r="E371" s="330" t="s">
        <v>166</v>
      </c>
      <c r="F371" s="330" t="s">
        <v>167</v>
      </c>
      <c r="G371" s="330" t="s">
        <v>176</v>
      </c>
      <c r="H371" s="330" t="s">
        <v>63</v>
      </c>
      <c r="I371" s="114" t="s">
        <v>639</v>
      </c>
    </row>
    <row r="372" spans="2:9" ht="26.4" x14ac:dyDescent="0.25">
      <c r="B372" s="337" t="s">
        <v>1177</v>
      </c>
      <c r="C372" s="547" t="s">
        <v>579</v>
      </c>
      <c r="D372" s="158" t="s">
        <v>166</v>
      </c>
      <c r="E372" s="330" t="s">
        <v>166</v>
      </c>
      <c r="F372" s="330" t="s">
        <v>167</v>
      </c>
      <c r="G372" s="330" t="s">
        <v>176</v>
      </c>
      <c r="H372" s="330" t="s">
        <v>63</v>
      </c>
      <c r="I372" s="114" t="s">
        <v>639</v>
      </c>
    </row>
    <row r="373" spans="2:9" ht="26.4" x14ac:dyDescent="0.25">
      <c r="B373" s="337" t="s">
        <v>1178</v>
      </c>
      <c r="C373" s="547" t="s">
        <v>580</v>
      </c>
      <c r="D373" s="158" t="s">
        <v>166</v>
      </c>
      <c r="E373" s="330" t="s">
        <v>166</v>
      </c>
      <c r="F373" s="330" t="s">
        <v>167</v>
      </c>
      <c r="G373" s="330" t="s">
        <v>176</v>
      </c>
      <c r="H373" s="330" t="s">
        <v>63</v>
      </c>
      <c r="I373" s="114" t="s">
        <v>639</v>
      </c>
    </row>
    <row r="374" spans="2:9" ht="26.4" x14ac:dyDescent="0.25">
      <c r="B374" s="337" t="s">
        <v>1179</v>
      </c>
      <c r="C374" s="547" t="s">
        <v>581</v>
      </c>
      <c r="D374" s="158" t="s">
        <v>166</v>
      </c>
      <c r="E374" s="330" t="s">
        <v>166</v>
      </c>
      <c r="F374" s="330" t="s">
        <v>167</v>
      </c>
      <c r="G374" s="330" t="s">
        <v>176</v>
      </c>
      <c r="H374" s="330" t="s">
        <v>63</v>
      </c>
      <c r="I374" s="114" t="s">
        <v>639</v>
      </c>
    </row>
    <row r="375" spans="2:9" ht="26.4" x14ac:dyDescent="0.25">
      <c r="B375" s="337" t="s">
        <v>1180</v>
      </c>
      <c r="C375" s="547" t="s">
        <v>582</v>
      </c>
      <c r="D375" s="158" t="s">
        <v>166</v>
      </c>
      <c r="E375" s="330" t="s">
        <v>166</v>
      </c>
      <c r="F375" s="330" t="s">
        <v>167</v>
      </c>
      <c r="G375" s="330" t="s">
        <v>176</v>
      </c>
      <c r="H375" s="330" t="s">
        <v>63</v>
      </c>
      <c r="I375" s="114" t="s">
        <v>639</v>
      </c>
    </row>
    <row r="376" spans="2:9" ht="26.4" x14ac:dyDescent="0.25">
      <c r="B376" s="337" t="s">
        <v>1181</v>
      </c>
      <c r="C376" s="330" t="s">
        <v>583</v>
      </c>
      <c r="D376" s="158" t="s">
        <v>166</v>
      </c>
      <c r="E376" s="330" t="s">
        <v>166</v>
      </c>
      <c r="F376" s="330" t="s">
        <v>396</v>
      </c>
      <c r="G376" s="330" t="s">
        <v>176</v>
      </c>
      <c r="H376" s="330" t="s">
        <v>63</v>
      </c>
      <c r="I376" s="114" t="s">
        <v>639</v>
      </c>
    </row>
    <row r="377" spans="2:9" ht="26.4" x14ac:dyDescent="0.25">
      <c r="B377" s="337" t="s">
        <v>1182</v>
      </c>
      <c r="C377" s="547" t="s">
        <v>584</v>
      </c>
      <c r="D377" s="158" t="s">
        <v>166</v>
      </c>
      <c r="E377" s="330" t="s">
        <v>166</v>
      </c>
      <c r="F377" s="330" t="s">
        <v>167</v>
      </c>
      <c r="G377" s="330" t="s">
        <v>176</v>
      </c>
      <c r="H377" s="330" t="s">
        <v>63</v>
      </c>
      <c r="I377" s="114" t="s">
        <v>639</v>
      </c>
    </row>
    <row r="378" spans="2:9" ht="26.4" x14ac:dyDescent="0.25">
      <c r="B378" s="337" t="s">
        <v>1183</v>
      </c>
      <c r="C378" s="547" t="s">
        <v>585</v>
      </c>
      <c r="D378" s="158" t="s">
        <v>166</v>
      </c>
      <c r="E378" s="330" t="s">
        <v>166</v>
      </c>
      <c r="F378" s="330" t="s">
        <v>167</v>
      </c>
      <c r="G378" s="330" t="s">
        <v>176</v>
      </c>
      <c r="H378" s="330" t="s">
        <v>63</v>
      </c>
      <c r="I378" s="114" t="s">
        <v>639</v>
      </c>
    </row>
    <row r="379" spans="2:9" ht="26.4" x14ac:dyDescent="0.25">
      <c r="B379" s="337" t="s">
        <v>1184</v>
      </c>
      <c r="C379" s="547" t="s">
        <v>587</v>
      </c>
      <c r="D379" s="158" t="s">
        <v>166</v>
      </c>
      <c r="E379" s="330" t="s">
        <v>166</v>
      </c>
      <c r="F379" s="330" t="s">
        <v>167</v>
      </c>
      <c r="G379" s="330" t="s">
        <v>176</v>
      </c>
      <c r="H379" s="330" t="s">
        <v>63</v>
      </c>
      <c r="I379" s="114" t="s">
        <v>639</v>
      </c>
    </row>
    <row r="380" spans="2:9" ht="26.4" x14ac:dyDescent="0.25">
      <c r="B380" s="337" t="s">
        <v>1185</v>
      </c>
      <c r="C380" s="547" t="s">
        <v>589</v>
      </c>
      <c r="D380" s="158" t="s">
        <v>166</v>
      </c>
      <c r="E380" s="330" t="s">
        <v>166</v>
      </c>
      <c r="F380" s="330" t="s">
        <v>167</v>
      </c>
      <c r="G380" s="330" t="s">
        <v>176</v>
      </c>
      <c r="H380" s="330" t="s">
        <v>63</v>
      </c>
      <c r="I380" s="114" t="s">
        <v>639</v>
      </c>
    </row>
    <row r="381" spans="2:9" ht="26.4" x14ac:dyDescent="0.25">
      <c r="B381" s="337" t="s">
        <v>1186</v>
      </c>
      <c r="C381" s="547" t="s">
        <v>591</v>
      </c>
      <c r="D381" s="158" t="s">
        <v>166</v>
      </c>
      <c r="E381" s="330" t="s">
        <v>166</v>
      </c>
      <c r="F381" s="330" t="s">
        <v>167</v>
      </c>
      <c r="G381" s="330" t="s">
        <v>176</v>
      </c>
      <c r="H381" s="330" t="s">
        <v>63</v>
      </c>
      <c r="I381" s="114" t="s">
        <v>639</v>
      </c>
    </row>
    <row r="382" spans="2:9" ht="26.4" x14ac:dyDescent="0.25">
      <c r="B382" s="337" t="s">
        <v>1187</v>
      </c>
      <c r="C382" s="547" t="s">
        <v>593</v>
      </c>
      <c r="D382" s="158" t="s">
        <v>166</v>
      </c>
      <c r="E382" s="330" t="s">
        <v>166</v>
      </c>
      <c r="F382" s="330" t="s">
        <v>167</v>
      </c>
      <c r="G382" s="330" t="s">
        <v>176</v>
      </c>
      <c r="H382" s="330" t="s">
        <v>63</v>
      </c>
      <c r="I382" s="114" t="s">
        <v>639</v>
      </c>
    </row>
    <row r="383" spans="2:9" ht="26.4" x14ac:dyDescent="0.25">
      <c r="B383" s="337" t="s">
        <v>1188</v>
      </c>
      <c r="C383" s="547" t="s">
        <v>595</v>
      </c>
      <c r="D383" s="158" t="s">
        <v>166</v>
      </c>
      <c r="E383" s="330" t="s">
        <v>166</v>
      </c>
      <c r="F383" s="330" t="s">
        <v>167</v>
      </c>
      <c r="G383" s="330" t="s">
        <v>176</v>
      </c>
      <c r="H383" s="330" t="s">
        <v>63</v>
      </c>
      <c r="I383" s="114" t="s">
        <v>639</v>
      </c>
    </row>
    <row r="384" spans="2:9" ht="26.4" x14ac:dyDescent="0.25">
      <c r="B384" s="337" t="s">
        <v>1189</v>
      </c>
      <c r="C384" s="547" t="s">
        <v>597</v>
      </c>
      <c r="D384" s="158" t="s">
        <v>166</v>
      </c>
      <c r="E384" s="330" t="s">
        <v>166</v>
      </c>
      <c r="F384" s="330" t="s">
        <v>167</v>
      </c>
      <c r="G384" s="330" t="s">
        <v>176</v>
      </c>
      <c r="H384" s="330" t="s">
        <v>63</v>
      </c>
      <c r="I384" s="114" t="s">
        <v>639</v>
      </c>
    </row>
    <row r="385" spans="2:9" ht="26.4" x14ac:dyDescent="0.25">
      <c r="B385" s="337" t="s">
        <v>1190</v>
      </c>
      <c r="C385" s="547" t="s">
        <v>599</v>
      </c>
      <c r="D385" s="158" t="s">
        <v>166</v>
      </c>
      <c r="E385" s="330" t="s">
        <v>166</v>
      </c>
      <c r="F385" s="330" t="s">
        <v>167</v>
      </c>
      <c r="G385" s="330" t="s">
        <v>176</v>
      </c>
      <c r="H385" s="330" t="s">
        <v>63</v>
      </c>
      <c r="I385" s="114" t="s">
        <v>639</v>
      </c>
    </row>
    <row r="386" spans="2:9" ht="26.4" x14ac:dyDescent="0.25">
      <c r="B386" s="337" t="s">
        <v>1191</v>
      </c>
      <c r="C386" s="330" t="s">
        <v>602</v>
      </c>
      <c r="D386" s="158" t="s">
        <v>166</v>
      </c>
      <c r="E386" s="330" t="s">
        <v>166</v>
      </c>
      <c r="F386" s="330" t="s">
        <v>396</v>
      </c>
      <c r="G386" s="330" t="s">
        <v>176</v>
      </c>
      <c r="H386" s="330" t="s">
        <v>63</v>
      </c>
      <c r="I386" s="114" t="s">
        <v>639</v>
      </c>
    </row>
    <row r="387" spans="2:9" ht="26.4" x14ac:dyDescent="0.25">
      <c r="B387" s="337" t="s">
        <v>1192</v>
      </c>
      <c r="C387" s="330" t="s">
        <v>604</v>
      </c>
      <c r="D387" s="158" t="s">
        <v>166</v>
      </c>
      <c r="E387" s="330" t="s">
        <v>166</v>
      </c>
      <c r="F387" s="330" t="s">
        <v>396</v>
      </c>
      <c r="G387" s="330" t="s">
        <v>176</v>
      </c>
      <c r="H387" s="330" t="s">
        <v>63</v>
      </c>
      <c r="I387" s="114" t="s">
        <v>639</v>
      </c>
    </row>
    <row r="388" spans="2:9" ht="26.4" x14ac:dyDescent="0.25">
      <c r="B388" s="337" t="s">
        <v>1193</v>
      </c>
      <c r="C388" s="330" t="s">
        <v>612</v>
      </c>
      <c r="D388" s="158" t="s">
        <v>166</v>
      </c>
      <c r="E388" s="330" t="s">
        <v>166</v>
      </c>
      <c r="F388" s="330" t="s">
        <v>167</v>
      </c>
      <c r="G388" s="330" t="s">
        <v>176</v>
      </c>
      <c r="H388" s="330" t="s">
        <v>63</v>
      </c>
      <c r="I388" s="114" t="s">
        <v>639</v>
      </c>
    </row>
    <row r="389" spans="2:9" ht="26.4" x14ac:dyDescent="0.25">
      <c r="B389" s="337" t="s">
        <v>1194</v>
      </c>
      <c r="C389" s="330" t="s">
        <v>614</v>
      </c>
      <c r="D389" s="158" t="s">
        <v>166</v>
      </c>
      <c r="E389" s="330" t="s">
        <v>166</v>
      </c>
      <c r="F389" s="330" t="s">
        <v>167</v>
      </c>
      <c r="G389" s="330" t="s">
        <v>176</v>
      </c>
      <c r="H389" s="330" t="s">
        <v>63</v>
      </c>
      <c r="I389" s="114" t="s">
        <v>639</v>
      </c>
    </row>
    <row r="390" spans="2:9" ht="26.4" x14ac:dyDescent="0.25">
      <c r="B390" s="337" t="s">
        <v>1195</v>
      </c>
      <c r="C390" s="330" t="s">
        <v>616</v>
      </c>
      <c r="D390" s="158" t="s">
        <v>166</v>
      </c>
      <c r="E390" s="330" t="s">
        <v>166</v>
      </c>
      <c r="F390" s="330" t="s">
        <v>167</v>
      </c>
      <c r="G390" s="330" t="s">
        <v>176</v>
      </c>
      <c r="H390" s="330" t="s">
        <v>63</v>
      </c>
      <c r="I390" s="114" t="s">
        <v>639</v>
      </c>
    </row>
    <row r="391" spans="2:9" ht="26.4" x14ac:dyDescent="0.25">
      <c r="B391" s="337" t="s">
        <v>1196</v>
      </c>
      <c r="C391" s="330" t="s">
        <v>618</v>
      </c>
      <c r="D391" s="158" t="s">
        <v>166</v>
      </c>
      <c r="E391" s="330" t="s">
        <v>166</v>
      </c>
      <c r="F391" s="330" t="s">
        <v>396</v>
      </c>
      <c r="G391" s="330" t="s">
        <v>176</v>
      </c>
      <c r="H391" s="330" t="s">
        <v>63</v>
      </c>
      <c r="I391" s="114" t="s">
        <v>639</v>
      </c>
    </row>
    <row r="392" spans="2:9" x14ac:dyDescent="0.25">
      <c r="B392" s="326" t="s">
        <v>407</v>
      </c>
      <c r="C392" s="336" t="s">
        <v>619</v>
      </c>
      <c r="D392" s="336" t="s">
        <v>409</v>
      </c>
      <c r="E392" s="336" t="s">
        <v>409</v>
      </c>
      <c r="F392" s="336" t="s">
        <v>409</v>
      </c>
      <c r="G392" s="336" t="s">
        <v>409</v>
      </c>
      <c r="H392" s="333" t="s">
        <v>409</v>
      </c>
    </row>
    <row r="393" spans="2:9" ht="39.6" x14ac:dyDescent="0.25">
      <c r="B393" s="329" t="s">
        <v>65</v>
      </c>
      <c r="C393" s="333" t="s">
        <v>160</v>
      </c>
      <c r="D393" s="334" t="s">
        <v>161</v>
      </c>
      <c r="E393" s="334" t="s">
        <v>162</v>
      </c>
      <c r="F393" s="334" t="s">
        <v>163</v>
      </c>
      <c r="G393" s="334" t="s">
        <v>164</v>
      </c>
      <c r="H393" s="334" t="s">
        <v>165</v>
      </c>
    </row>
    <row r="394" spans="2:9" ht="26.4" x14ac:dyDescent="0.25">
      <c r="B394" s="337" t="s">
        <v>1197</v>
      </c>
      <c r="C394" s="2" t="s">
        <v>410</v>
      </c>
      <c r="D394" s="158" t="s">
        <v>166</v>
      </c>
      <c r="E394" s="330" t="s">
        <v>166</v>
      </c>
      <c r="F394" s="330" t="s">
        <v>167</v>
      </c>
      <c r="G394" s="330" t="s">
        <v>176</v>
      </c>
      <c r="H394" s="330" t="s">
        <v>63</v>
      </c>
      <c r="I394" s="114" t="s">
        <v>639</v>
      </c>
    </row>
    <row r="395" spans="2:9" ht="26.4" x14ac:dyDescent="0.25">
      <c r="B395" s="337" t="s">
        <v>1198</v>
      </c>
      <c r="C395" s="2" t="s">
        <v>411</v>
      </c>
      <c r="D395" s="158" t="s">
        <v>166</v>
      </c>
      <c r="E395" s="330" t="s">
        <v>166</v>
      </c>
      <c r="F395" s="330" t="s">
        <v>167</v>
      </c>
      <c r="G395" s="330" t="s">
        <v>176</v>
      </c>
      <c r="H395" s="330" t="s">
        <v>63</v>
      </c>
      <c r="I395" s="114" t="s">
        <v>639</v>
      </c>
    </row>
    <row r="396" spans="2:9" ht="26.4" x14ac:dyDescent="0.25">
      <c r="B396" s="337" t="s">
        <v>1199</v>
      </c>
      <c r="C396" s="2" t="s">
        <v>413</v>
      </c>
      <c r="D396" s="158" t="s">
        <v>166</v>
      </c>
      <c r="E396" s="330" t="s">
        <v>166</v>
      </c>
      <c r="F396" s="330" t="s">
        <v>167</v>
      </c>
      <c r="G396" s="330" t="s">
        <v>176</v>
      </c>
      <c r="H396" s="330" t="s">
        <v>63</v>
      </c>
      <c r="I396" s="114" t="s">
        <v>639</v>
      </c>
    </row>
    <row r="397" spans="2:9" ht="26.4" x14ac:dyDescent="0.25">
      <c r="B397" s="337" t="s">
        <v>1200</v>
      </c>
      <c r="C397" s="2" t="s">
        <v>415</v>
      </c>
      <c r="D397" s="158" t="s">
        <v>166</v>
      </c>
      <c r="E397" s="330" t="s">
        <v>166</v>
      </c>
      <c r="F397" s="330" t="s">
        <v>167</v>
      </c>
      <c r="G397" s="330" t="s">
        <v>176</v>
      </c>
      <c r="H397" s="330" t="s">
        <v>63</v>
      </c>
      <c r="I397" s="114" t="s">
        <v>639</v>
      </c>
    </row>
    <row r="398" spans="2:9" x14ac:dyDescent="0.25">
      <c r="B398" s="326"/>
      <c r="C398" s="336" t="s">
        <v>632</v>
      </c>
      <c r="D398" s="336"/>
      <c r="E398" s="336"/>
      <c r="F398" s="336"/>
      <c r="G398" s="336"/>
      <c r="H398" s="333"/>
    </row>
    <row r="399" spans="2:9" ht="39.6" x14ac:dyDescent="0.25">
      <c r="B399" s="329" t="s">
        <v>65</v>
      </c>
      <c r="C399" s="268" t="s">
        <v>160</v>
      </c>
      <c r="D399" s="269" t="s">
        <v>161</v>
      </c>
      <c r="E399" s="269" t="s">
        <v>162</v>
      </c>
      <c r="F399" s="269" t="s">
        <v>163</v>
      </c>
      <c r="G399" s="269" t="s">
        <v>164</v>
      </c>
      <c r="H399" s="269" t="s">
        <v>165</v>
      </c>
    </row>
    <row r="400" spans="2:9" ht="26.4" x14ac:dyDescent="0.25">
      <c r="B400" s="337" t="s">
        <v>1201</v>
      </c>
      <c r="C400" s="2" t="s">
        <v>410</v>
      </c>
      <c r="D400" s="158" t="s">
        <v>166</v>
      </c>
      <c r="E400" s="330" t="s">
        <v>166</v>
      </c>
      <c r="F400" s="330" t="s">
        <v>167</v>
      </c>
      <c r="G400" s="330" t="s">
        <v>176</v>
      </c>
      <c r="H400" s="330" t="s">
        <v>63</v>
      </c>
    </row>
    <row r="401" spans="2:8" ht="26.4" x14ac:dyDescent="0.25">
      <c r="B401" s="337" t="s">
        <v>1202</v>
      </c>
      <c r="C401" s="2" t="s">
        <v>411</v>
      </c>
      <c r="D401" s="158" t="s">
        <v>166</v>
      </c>
      <c r="E401" s="330" t="s">
        <v>166</v>
      </c>
      <c r="F401" s="330" t="s">
        <v>167</v>
      </c>
      <c r="G401" s="330" t="s">
        <v>176</v>
      </c>
      <c r="H401" s="330" t="s">
        <v>63</v>
      </c>
    </row>
    <row r="402" spans="2:8" ht="26.4" x14ac:dyDescent="0.25">
      <c r="B402" s="337" t="s">
        <v>1203</v>
      </c>
      <c r="C402" s="2" t="s">
        <v>413</v>
      </c>
      <c r="D402" s="158" t="s">
        <v>166</v>
      </c>
      <c r="E402" s="330" t="s">
        <v>166</v>
      </c>
      <c r="F402" s="330" t="s">
        <v>167</v>
      </c>
      <c r="G402" s="330" t="s">
        <v>176</v>
      </c>
      <c r="H402" s="330" t="s">
        <v>63</v>
      </c>
    </row>
    <row r="403" spans="2:8" ht="26.4" x14ac:dyDescent="0.25">
      <c r="B403" s="337" t="s">
        <v>1204</v>
      </c>
      <c r="C403" s="2" t="s">
        <v>415</v>
      </c>
      <c r="D403" s="158" t="s">
        <v>166</v>
      </c>
      <c r="E403" s="330" t="s">
        <v>166</v>
      </c>
      <c r="F403" s="330" t="s">
        <v>167</v>
      </c>
      <c r="G403" s="330" t="s">
        <v>176</v>
      </c>
      <c r="H403" s="330" t="s">
        <v>63</v>
      </c>
    </row>
    <row r="404" spans="2:8" ht="26.4" x14ac:dyDescent="0.25">
      <c r="B404" s="337" t="s">
        <v>1205</v>
      </c>
      <c r="C404" s="330" t="s">
        <v>637</v>
      </c>
      <c r="D404" s="158" t="s">
        <v>166</v>
      </c>
      <c r="E404" s="330" t="s">
        <v>166</v>
      </c>
      <c r="F404" s="330" t="s">
        <v>396</v>
      </c>
      <c r="G404" s="330" t="s">
        <v>176</v>
      </c>
      <c r="H404" s="330" t="s">
        <v>63</v>
      </c>
    </row>
    <row r="405" spans="2:8" ht="26.4" x14ac:dyDescent="0.25">
      <c r="B405" s="337" t="s">
        <v>1206</v>
      </c>
      <c r="C405" s="330" t="s">
        <v>583</v>
      </c>
      <c r="D405" s="158" t="s">
        <v>166</v>
      </c>
      <c r="E405" s="330" t="s">
        <v>166</v>
      </c>
      <c r="F405" s="330" t="s">
        <v>396</v>
      </c>
      <c r="G405" s="330" t="s">
        <v>176</v>
      </c>
      <c r="H405" s="330" t="s">
        <v>63</v>
      </c>
    </row>
    <row r="406" spans="2:8" ht="26.4" x14ac:dyDescent="0.25">
      <c r="B406" s="337" t="s">
        <v>1207</v>
      </c>
      <c r="C406" s="330" t="s">
        <v>638</v>
      </c>
      <c r="D406" s="158" t="s">
        <v>166</v>
      </c>
      <c r="E406" s="330" t="s">
        <v>166</v>
      </c>
      <c r="F406" s="330" t="s">
        <v>396</v>
      </c>
      <c r="G406" s="330" t="s">
        <v>176</v>
      </c>
      <c r="H406" s="330" t="s">
        <v>63</v>
      </c>
    </row>
    <row r="407" spans="2:8" ht="26.4" x14ac:dyDescent="0.25">
      <c r="B407" s="337" t="s">
        <v>1208</v>
      </c>
      <c r="C407" s="330" t="s">
        <v>633</v>
      </c>
      <c r="D407" s="158" t="s">
        <v>166</v>
      </c>
      <c r="E407" s="330" t="s">
        <v>166</v>
      </c>
      <c r="F407" s="330" t="s">
        <v>396</v>
      </c>
      <c r="G407" s="330" t="s">
        <v>176</v>
      </c>
      <c r="H407" s="330" t="s">
        <v>63</v>
      </c>
    </row>
    <row r="408" spans="2:8" x14ac:dyDescent="0.25">
      <c r="B408" s="326"/>
      <c r="C408" s="336" t="s">
        <v>643</v>
      </c>
      <c r="D408" s="336"/>
      <c r="E408" s="336"/>
      <c r="F408" s="336"/>
      <c r="G408" s="336"/>
      <c r="H408" s="333"/>
    </row>
    <row r="409" spans="2:8" ht="39.6" x14ac:dyDescent="0.25">
      <c r="B409" s="329" t="s">
        <v>65</v>
      </c>
      <c r="C409" s="268" t="s">
        <v>160</v>
      </c>
      <c r="D409" s="269" t="s">
        <v>161</v>
      </c>
      <c r="E409" s="269" t="s">
        <v>162</v>
      </c>
      <c r="F409" s="269" t="s">
        <v>163</v>
      </c>
      <c r="G409" s="269" t="s">
        <v>164</v>
      </c>
      <c r="H409" s="269" t="s">
        <v>165</v>
      </c>
    </row>
    <row r="410" spans="2:8" ht="26.4" x14ac:dyDescent="0.3">
      <c r="B410" s="337" t="s">
        <v>1209</v>
      </c>
      <c r="C410" s="21" t="s">
        <v>436</v>
      </c>
      <c r="D410" s="158" t="s">
        <v>166</v>
      </c>
      <c r="E410" s="330" t="s">
        <v>166</v>
      </c>
      <c r="F410" s="330" t="s">
        <v>167</v>
      </c>
      <c r="G410" s="330" t="s">
        <v>176</v>
      </c>
      <c r="H410" s="330" t="s">
        <v>63</v>
      </c>
    </row>
    <row r="411" spans="2:8" ht="26.4" x14ac:dyDescent="0.3">
      <c r="B411" s="337" t="s">
        <v>1210</v>
      </c>
      <c r="C411" s="21" t="s">
        <v>438</v>
      </c>
      <c r="D411" s="158" t="s">
        <v>166</v>
      </c>
      <c r="E411" s="330" t="s">
        <v>166</v>
      </c>
      <c r="F411" s="330" t="s">
        <v>167</v>
      </c>
      <c r="G411" s="330" t="s">
        <v>176</v>
      </c>
      <c r="H411" s="330" t="s">
        <v>63</v>
      </c>
    </row>
    <row r="412" spans="2:8" ht="26.4" x14ac:dyDescent="0.3">
      <c r="B412" s="337" t="s">
        <v>1211</v>
      </c>
      <c r="C412" s="21" t="s">
        <v>440</v>
      </c>
      <c r="D412" s="158" t="s">
        <v>166</v>
      </c>
      <c r="E412" s="330" t="s">
        <v>166</v>
      </c>
      <c r="F412" s="330" t="s">
        <v>167</v>
      </c>
      <c r="G412" s="330" t="s">
        <v>176</v>
      </c>
      <c r="H412" s="330" t="s">
        <v>63</v>
      </c>
    </row>
    <row r="413" spans="2:8" ht="26.4" x14ac:dyDescent="0.3">
      <c r="B413" s="337" t="s">
        <v>1212</v>
      </c>
      <c r="C413" s="21" t="s">
        <v>442</v>
      </c>
      <c r="D413" s="158" t="s">
        <v>166</v>
      </c>
      <c r="E413" s="330" t="s">
        <v>166</v>
      </c>
      <c r="F413" s="330" t="s">
        <v>167</v>
      </c>
      <c r="G413" s="330" t="s">
        <v>176</v>
      </c>
      <c r="H413" s="330" t="s">
        <v>63</v>
      </c>
    </row>
    <row r="414" spans="2:8" ht="26.4" x14ac:dyDescent="0.25">
      <c r="B414" s="337" t="s">
        <v>1213</v>
      </c>
      <c r="C414" s="339" t="s">
        <v>450</v>
      </c>
      <c r="D414" s="158" t="s">
        <v>166</v>
      </c>
      <c r="E414" s="330" t="s">
        <v>166</v>
      </c>
      <c r="F414" s="330" t="s">
        <v>396</v>
      </c>
      <c r="G414" s="330" t="s">
        <v>176</v>
      </c>
      <c r="H414" s="330" t="s">
        <v>63</v>
      </c>
    </row>
    <row r="415" spans="2:8" ht="26.4" x14ac:dyDescent="0.25">
      <c r="B415" s="337" t="s">
        <v>1214</v>
      </c>
      <c r="C415" s="339" t="s">
        <v>452</v>
      </c>
      <c r="D415" s="158" t="s">
        <v>166</v>
      </c>
      <c r="E415" s="330" t="s">
        <v>166</v>
      </c>
      <c r="F415" s="330" t="s">
        <v>396</v>
      </c>
      <c r="G415" s="330" t="s">
        <v>176</v>
      </c>
      <c r="H415" s="330" t="s">
        <v>63</v>
      </c>
    </row>
    <row r="416" spans="2:8" ht="26.4" x14ac:dyDescent="0.25">
      <c r="B416" s="337" t="s">
        <v>1215</v>
      </c>
      <c r="C416" s="339" t="s">
        <v>454</v>
      </c>
      <c r="D416" s="158" t="s">
        <v>166</v>
      </c>
      <c r="E416" s="330" t="s">
        <v>166</v>
      </c>
      <c r="F416" s="330" t="s">
        <v>167</v>
      </c>
      <c r="G416" s="330" t="s">
        <v>176</v>
      </c>
      <c r="H416" s="330" t="s">
        <v>63</v>
      </c>
    </row>
    <row r="417" spans="2:8" ht="26.4" x14ac:dyDescent="0.25">
      <c r="B417" s="337" t="s">
        <v>1216</v>
      </c>
      <c r="C417" s="335" t="s">
        <v>456</v>
      </c>
      <c r="D417" s="158" t="s">
        <v>166</v>
      </c>
      <c r="E417" s="330" t="s">
        <v>166</v>
      </c>
      <c r="F417" s="330" t="s">
        <v>396</v>
      </c>
      <c r="G417" s="330" t="s">
        <v>176</v>
      </c>
      <c r="H417" s="330" t="s">
        <v>63</v>
      </c>
    </row>
    <row r="418" spans="2:8" ht="26.4" x14ac:dyDescent="0.25">
      <c r="B418" s="337" t="s">
        <v>1217</v>
      </c>
      <c r="C418" s="335" t="s">
        <v>458</v>
      </c>
      <c r="D418" s="158" t="s">
        <v>166</v>
      </c>
      <c r="E418" s="330" t="s">
        <v>166</v>
      </c>
      <c r="F418" s="330" t="s">
        <v>396</v>
      </c>
      <c r="G418" s="330" t="s">
        <v>176</v>
      </c>
      <c r="H418" s="330" t="s">
        <v>63</v>
      </c>
    </row>
    <row r="419" spans="2:8" ht="28.8" x14ac:dyDescent="0.25">
      <c r="B419" s="337" t="s">
        <v>1218</v>
      </c>
      <c r="C419" s="335" t="s">
        <v>460</v>
      </c>
      <c r="D419" s="158" t="s">
        <v>166</v>
      </c>
      <c r="E419" s="330" t="s">
        <v>166</v>
      </c>
      <c r="F419" s="330" t="s">
        <v>396</v>
      </c>
      <c r="G419" s="330" t="s">
        <v>176</v>
      </c>
      <c r="H419" s="330" t="s">
        <v>63</v>
      </c>
    </row>
    <row r="420" spans="2:8" ht="26.4" x14ac:dyDescent="0.25">
      <c r="B420" s="337" t="s">
        <v>1219</v>
      </c>
      <c r="C420" s="335" t="s">
        <v>462</v>
      </c>
      <c r="D420" s="158" t="s">
        <v>166</v>
      </c>
      <c r="E420" s="330" t="s">
        <v>166</v>
      </c>
      <c r="F420" s="330" t="s">
        <v>396</v>
      </c>
      <c r="G420" s="330" t="s">
        <v>176</v>
      </c>
      <c r="H420" s="330" t="s">
        <v>63</v>
      </c>
    </row>
    <row r="421" spans="2:8" ht="26.4" x14ac:dyDescent="0.25">
      <c r="B421" s="337" t="s">
        <v>1220</v>
      </c>
      <c r="C421" s="335" t="s">
        <v>464</v>
      </c>
      <c r="D421" s="158" t="s">
        <v>166</v>
      </c>
      <c r="E421" s="330" t="s">
        <v>166</v>
      </c>
      <c r="F421" s="330" t="s">
        <v>396</v>
      </c>
      <c r="G421" s="330" t="s">
        <v>176</v>
      </c>
      <c r="H421" s="330" t="s">
        <v>63</v>
      </c>
    </row>
    <row r="422" spans="2:8" ht="26.4" x14ac:dyDescent="0.25">
      <c r="B422" s="337" t="s">
        <v>1221</v>
      </c>
      <c r="C422" s="335" t="s">
        <v>465</v>
      </c>
      <c r="D422" s="158" t="s">
        <v>166</v>
      </c>
      <c r="E422" s="330" t="s">
        <v>166</v>
      </c>
      <c r="F422" s="330" t="s">
        <v>396</v>
      </c>
      <c r="G422" s="330" t="s">
        <v>176</v>
      </c>
      <c r="H422" s="330" t="s">
        <v>63</v>
      </c>
    </row>
    <row r="423" spans="2:8" ht="26.4" x14ac:dyDescent="0.25">
      <c r="B423" s="337" t="s">
        <v>1222</v>
      </c>
      <c r="C423" s="335" t="s">
        <v>466</v>
      </c>
      <c r="D423" s="158" t="s">
        <v>166</v>
      </c>
      <c r="E423" s="330" t="s">
        <v>166</v>
      </c>
      <c r="F423" s="330" t="s">
        <v>396</v>
      </c>
      <c r="G423" s="330" t="s">
        <v>176</v>
      </c>
      <c r="H423" s="330" t="s">
        <v>63</v>
      </c>
    </row>
    <row r="424" spans="2:8" ht="26.4" x14ac:dyDescent="0.25">
      <c r="B424" s="337" t="s">
        <v>1223</v>
      </c>
      <c r="C424" s="330" t="s">
        <v>552</v>
      </c>
      <c r="D424" s="158" t="s">
        <v>166</v>
      </c>
      <c r="E424" s="330" t="s">
        <v>166</v>
      </c>
      <c r="F424" s="330" t="s">
        <v>396</v>
      </c>
      <c r="G424" s="330" t="s">
        <v>176</v>
      </c>
      <c r="H424" s="330" t="s">
        <v>63</v>
      </c>
    </row>
    <row r="425" spans="2:8" ht="26.4" x14ac:dyDescent="0.25">
      <c r="B425" s="337" t="s">
        <v>1224</v>
      </c>
      <c r="C425" s="330" t="s">
        <v>553</v>
      </c>
      <c r="D425" s="158" t="s">
        <v>166</v>
      </c>
      <c r="E425" s="330" t="s">
        <v>166</v>
      </c>
      <c r="F425" s="330" t="s">
        <v>396</v>
      </c>
      <c r="G425" s="330" t="s">
        <v>176</v>
      </c>
      <c r="H425" s="330" t="s">
        <v>63</v>
      </c>
    </row>
    <row r="426" spans="2:8" ht="26.4" x14ac:dyDescent="0.25">
      <c r="B426" s="337" t="s">
        <v>1225</v>
      </c>
      <c r="C426" s="330" t="s">
        <v>554</v>
      </c>
      <c r="D426" s="158" t="s">
        <v>166</v>
      </c>
      <c r="E426" s="330" t="s">
        <v>166</v>
      </c>
      <c r="F426" s="330" t="s">
        <v>167</v>
      </c>
      <c r="G426" s="330" t="s">
        <v>176</v>
      </c>
      <c r="H426" s="330" t="s">
        <v>63</v>
      </c>
    </row>
    <row r="427" spans="2:8" ht="26.4" x14ac:dyDescent="0.25">
      <c r="B427" s="337" t="s">
        <v>1226</v>
      </c>
      <c r="C427" s="330" t="s">
        <v>555</v>
      </c>
      <c r="D427" s="158" t="s">
        <v>166</v>
      </c>
      <c r="E427" s="330" t="s">
        <v>166</v>
      </c>
      <c r="F427" s="330" t="s">
        <v>167</v>
      </c>
      <c r="G427" s="330" t="s">
        <v>176</v>
      </c>
      <c r="H427" s="330" t="s">
        <v>63</v>
      </c>
    </row>
    <row r="428" spans="2:8" ht="26.4" x14ac:dyDescent="0.25">
      <c r="B428" s="337" t="s">
        <v>1227</v>
      </c>
      <c r="C428" s="330" t="s">
        <v>556</v>
      </c>
      <c r="D428" s="158" t="s">
        <v>166</v>
      </c>
      <c r="E428" s="330" t="s">
        <v>166</v>
      </c>
      <c r="F428" s="330" t="s">
        <v>167</v>
      </c>
      <c r="G428" s="330" t="s">
        <v>176</v>
      </c>
      <c r="H428" s="330" t="s">
        <v>63</v>
      </c>
    </row>
    <row r="429" spans="2:8" ht="26.4" x14ac:dyDescent="0.25">
      <c r="B429" s="337" t="s">
        <v>1228</v>
      </c>
      <c r="C429" s="330" t="s">
        <v>557</v>
      </c>
      <c r="D429" s="158" t="s">
        <v>166</v>
      </c>
      <c r="E429" s="330" t="s">
        <v>166</v>
      </c>
      <c r="F429" s="330" t="s">
        <v>167</v>
      </c>
      <c r="G429" s="330" t="s">
        <v>176</v>
      </c>
      <c r="H429" s="330" t="s">
        <v>63</v>
      </c>
    </row>
    <row r="430" spans="2:8" ht="26.4" x14ac:dyDescent="0.25">
      <c r="B430" s="337" t="s">
        <v>1229</v>
      </c>
      <c r="C430" s="330" t="s">
        <v>558</v>
      </c>
      <c r="D430" s="158" t="s">
        <v>166</v>
      </c>
      <c r="E430" s="330" t="s">
        <v>166</v>
      </c>
      <c r="F430" s="330" t="s">
        <v>167</v>
      </c>
      <c r="G430" s="330" t="s">
        <v>176</v>
      </c>
      <c r="H430" s="330" t="s">
        <v>63</v>
      </c>
    </row>
    <row r="431" spans="2:8" ht="26.4" x14ac:dyDescent="0.25">
      <c r="B431" s="337" t="s">
        <v>1230</v>
      </c>
      <c r="C431" s="330" t="s">
        <v>559</v>
      </c>
      <c r="D431" s="158" t="s">
        <v>166</v>
      </c>
      <c r="E431" s="330" t="s">
        <v>166</v>
      </c>
      <c r="F431" s="330" t="s">
        <v>396</v>
      </c>
      <c r="G431" s="330" t="s">
        <v>176</v>
      </c>
      <c r="H431" s="330" t="s">
        <v>63</v>
      </c>
    </row>
    <row r="432" spans="2:8" ht="26.4" x14ac:dyDescent="0.25">
      <c r="B432" s="337" t="s">
        <v>1231</v>
      </c>
      <c r="C432" s="330" t="s">
        <v>560</v>
      </c>
      <c r="D432" s="158" t="s">
        <v>166</v>
      </c>
      <c r="E432" s="330" t="s">
        <v>166</v>
      </c>
      <c r="F432" s="330" t="s">
        <v>396</v>
      </c>
      <c r="G432" s="330" t="s">
        <v>176</v>
      </c>
      <c r="H432" s="330" t="s">
        <v>63</v>
      </c>
    </row>
    <row r="433" spans="2:8" ht="26.4" x14ac:dyDescent="0.25">
      <c r="B433" s="337" t="s">
        <v>1232</v>
      </c>
      <c r="C433" s="330" t="s">
        <v>561</v>
      </c>
      <c r="D433" s="158" t="s">
        <v>166</v>
      </c>
      <c r="E433" s="330" t="s">
        <v>166</v>
      </c>
      <c r="F433" s="330" t="s">
        <v>396</v>
      </c>
      <c r="G433" s="330" t="s">
        <v>176</v>
      </c>
      <c r="H433" s="330" t="s">
        <v>63</v>
      </c>
    </row>
  </sheetData>
  <phoneticPr fontId="41" type="noConversion"/>
  <dataValidations count="7">
    <dataValidation type="list" allowBlank="1" showInputMessage="1" showErrorMessage="1" sqref="E718:E1048576" xr:uid="{7ADC4DE9-98B2-4BD2-9A16-201F9978395A}">
      <formula1>TIPO</formula1>
    </dataValidation>
    <dataValidation type="list" allowBlank="1" showInputMessage="1" showErrorMessage="1" sqref="F796:F1048576" xr:uid="{E44BCC9C-EE4C-4F9B-93A8-1574316FC6CD}">
      <formula1>IF(#REF!="Funcional",Escenarios_de_pruebas)</formula1>
    </dataValidation>
    <dataValidation type="list" allowBlank="1" showInputMessage="1" showErrorMessage="1" sqref="H400:H403 H7:H12 H408:H1048576" xr:uid="{07BE2A61-8D7D-4B3D-9F34-E8C4DCE75E99}">
      <formula1>AUTO</formula1>
    </dataValidation>
    <dataValidation type="list" allowBlank="1" showInputMessage="1" showErrorMessage="1" sqref="E7:E12 E410:E717 E394:E397 E400:E407 E15:E391" xr:uid="{A348456E-244B-41A7-9D44-C73B8DFB634C}">
      <formula1>INDIRECT(D7)</formula1>
    </dataValidation>
    <dataValidation type="list" allowBlank="1" showInputMessage="1" showErrorMessage="1" sqref="F7:F12" xr:uid="{8C6B8707-E8F6-4959-B59F-656EDF4B5BB1}">
      <formula1>IF(OR($C7="Técnico",$C7="Funcional"),Escenarios_de_pruebas,"")</formula1>
    </dataValidation>
    <dataValidation type="list" allowBlank="1" showInputMessage="1" showErrorMessage="1" sqref="F434:F795" xr:uid="{D5AEDAE5-D35C-4267-9F1F-14B2B8047537}">
      <formula1>IF($D434="Funcional",Escenarios_de_pruebas)</formula1>
    </dataValidation>
    <dataValidation type="list" allowBlank="1" showInputMessage="1" showErrorMessage="1" sqref="F400:F403" xr:uid="{E03345CE-3D9A-4F88-8017-B67370CBD558}">
      <formula1>IF($C400="Funcional",Escenarios_de_pruebas)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4DDDCD7-9534-4209-A080-A97F16157E09}">
          <x14:formula1>
            <xm:f>'ESTANDAR HORAS'!$O$6:$Q$6</xm:f>
          </x14:formula1>
          <xm:sqref>D408:D1048576</xm:sqref>
        </x14:dataValidation>
        <x14:dataValidation type="list" allowBlank="1" showInputMessage="1" showErrorMessage="1" xr:uid="{A92CA41A-A273-4AD4-936B-2CB7920C7E97}">
          <x14:formula1>
            <xm:f>'ESTANDAR HORAS'!$C$3:$K$3</xm:f>
          </x14:formula1>
          <xm:sqref>G408:G1048576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486BF-602B-4E70-9B75-D0E7F59B164B}">
  <sheetPr codeName="Hoja3"/>
  <dimension ref="A1:M25"/>
  <sheetViews>
    <sheetView workbookViewId="0">
      <selection activeCell="F8" sqref="F8"/>
    </sheetView>
  </sheetViews>
  <sheetFormatPr baseColWidth="10" defaultColWidth="11.44140625" defaultRowHeight="14.4" x14ac:dyDescent="0.3"/>
  <cols>
    <col min="1" max="1" width="19.88671875" customWidth="1"/>
    <col min="2" max="2" width="11.44140625" customWidth="1"/>
    <col min="3" max="3" width="17.5546875" bestFit="1" customWidth="1"/>
    <col min="6" max="6" width="14.5546875" bestFit="1" customWidth="1"/>
    <col min="7" max="7" width="18.88671875" customWidth="1"/>
    <col min="9" max="9" width="2.33203125" customWidth="1"/>
    <col min="11" max="11" width="20.44140625" customWidth="1"/>
  </cols>
  <sheetData>
    <row r="1" spans="1:13" x14ac:dyDescent="0.3">
      <c r="A1" s="234" t="s">
        <v>171</v>
      </c>
      <c r="B1" s="235" t="s">
        <v>172</v>
      </c>
      <c r="C1" s="235" t="s">
        <v>173</v>
      </c>
      <c r="D1" s="236" t="s">
        <v>174</v>
      </c>
      <c r="F1" s="432" t="s">
        <v>172</v>
      </c>
      <c r="G1" s="433"/>
      <c r="H1" s="247" t="s">
        <v>118</v>
      </c>
      <c r="J1" s="432" t="s">
        <v>173</v>
      </c>
      <c r="K1" s="433"/>
      <c r="L1" s="246" t="s">
        <v>118</v>
      </c>
      <c r="M1" s="246" t="s">
        <v>175</v>
      </c>
    </row>
    <row r="2" spans="1:13" x14ac:dyDescent="0.3">
      <c r="A2" s="228" t="s">
        <v>176</v>
      </c>
      <c r="B2" s="229">
        <v>5</v>
      </c>
      <c r="C2" s="229">
        <v>60</v>
      </c>
      <c r="D2" s="232">
        <v>5</v>
      </c>
      <c r="F2" s="437" t="s">
        <v>76</v>
      </c>
      <c r="G2" s="437"/>
      <c r="H2" s="243">
        <v>10</v>
      </c>
      <c r="J2" s="437" t="s">
        <v>177</v>
      </c>
      <c r="K2" s="437"/>
      <c r="L2" s="243">
        <v>5</v>
      </c>
      <c r="M2" s="243">
        <f>'BASE CALCULO'!GN14</f>
        <v>20.900000000000002</v>
      </c>
    </row>
    <row r="3" spans="1:13" x14ac:dyDescent="0.3">
      <c r="A3" s="228" t="s">
        <v>178</v>
      </c>
      <c r="B3" s="229">
        <v>10</v>
      </c>
      <c r="C3" s="229">
        <v>150</v>
      </c>
      <c r="D3" s="232">
        <v>10</v>
      </c>
      <c r="F3" s="437" t="s">
        <v>99</v>
      </c>
      <c r="G3" s="437"/>
      <c r="H3" s="243">
        <v>30</v>
      </c>
      <c r="J3" s="437" t="s">
        <v>179</v>
      </c>
      <c r="K3" s="437"/>
      <c r="L3" s="243">
        <v>10</v>
      </c>
      <c r="M3" s="243">
        <f>'BASE CALCULO'!GO14</f>
        <v>41.800000000000004</v>
      </c>
    </row>
    <row r="4" spans="1:13" x14ac:dyDescent="0.3">
      <c r="A4" s="228" t="s">
        <v>170</v>
      </c>
      <c r="B4" s="229">
        <v>15</v>
      </c>
      <c r="C4" s="229">
        <v>240</v>
      </c>
      <c r="D4" s="232">
        <v>15</v>
      </c>
      <c r="F4" s="438" t="s">
        <v>180</v>
      </c>
      <c r="G4" s="245" t="s">
        <v>181</v>
      </c>
      <c r="H4" s="243">
        <v>50</v>
      </c>
      <c r="J4" s="442" t="s">
        <v>182</v>
      </c>
      <c r="K4" s="443"/>
      <c r="L4" s="243">
        <v>5</v>
      </c>
      <c r="M4" s="243">
        <f>'BASE CALCULO'!GQ14</f>
        <v>20.900000000000002</v>
      </c>
    </row>
    <row r="5" spans="1:13" x14ac:dyDescent="0.3">
      <c r="A5" s="228" t="s">
        <v>168</v>
      </c>
      <c r="B5" s="229">
        <v>30</v>
      </c>
      <c r="C5" s="229">
        <v>300</v>
      </c>
      <c r="D5" s="232">
        <v>30</v>
      </c>
      <c r="F5" s="439"/>
      <c r="G5" s="245" t="s">
        <v>183</v>
      </c>
      <c r="H5" s="243">
        <v>25</v>
      </c>
      <c r="J5" s="432" t="s">
        <v>184</v>
      </c>
      <c r="K5" s="433"/>
      <c r="L5" s="243">
        <v>10</v>
      </c>
      <c r="M5" s="243">
        <f>'BASE CALCULO'!GS14</f>
        <v>41.800000000000004</v>
      </c>
    </row>
    <row r="6" spans="1:13" x14ac:dyDescent="0.3">
      <c r="A6" s="228" t="s">
        <v>185</v>
      </c>
      <c r="B6" s="229">
        <v>45</v>
      </c>
      <c r="C6" s="229">
        <v>390</v>
      </c>
      <c r="D6" s="232">
        <v>45</v>
      </c>
      <c r="F6" s="440" t="s">
        <v>123</v>
      </c>
      <c r="G6" s="441"/>
      <c r="H6" s="243">
        <v>5</v>
      </c>
      <c r="J6" s="196"/>
      <c r="L6" s="196"/>
    </row>
    <row r="7" spans="1:13" x14ac:dyDescent="0.3">
      <c r="A7" s="228" t="s">
        <v>186</v>
      </c>
      <c r="B7" s="229">
        <v>60</v>
      </c>
      <c r="C7" s="229">
        <v>480</v>
      </c>
      <c r="D7" s="232">
        <v>60</v>
      </c>
      <c r="F7" s="196"/>
      <c r="G7" s="196"/>
      <c r="J7" s="196"/>
    </row>
    <row r="8" spans="1:13" x14ac:dyDescent="0.3">
      <c r="A8" s="228" t="s">
        <v>187</v>
      </c>
      <c r="B8" s="229">
        <v>90</v>
      </c>
      <c r="C8" s="229">
        <v>540</v>
      </c>
      <c r="D8" s="232">
        <v>90</v>
      </c>
      <c r="F8" s="196"/>
      <c r="G8" s="196"/>
    </row>
    <row r="9" spans="1:13" x14ac:dyDescent="0.3">
      <c r="A9" s="228" t="s">
        <v>188</v>
      </c>
      <c r="B9" s="229">
        <v>120</v>
      </c>
      <c r="C9" s="229">
        <v>600</v>
      </c>
      <c r="D9" s="232">
        <v>120</v>
      </c>
    </row>
    <row r="10" spans="1:13" ht="15" thickBot="1" x14ac:dyDescent="0.35">
      <c r="A10" s="230" t="s">
        <v>189</v>
      </c>
      <c r="B10" s="231">
        <v>180</v>
      </c>
      <c r="C10" s="231">
        <v>720</v>
      </c>
      <c r="D10" s="233">
        <v>180</v>
      </c>
    </row>
    <row r="11" spans="1:13" x14ac:dyDescent="0.3">
      <c r="A11" s="209" t="s">
        <v>190</v>
      </c>
      <c r="B11" s="210">
        <v>15</v>
      </c>
      <c r="C11" s="434" t="s">
        <v>191</v>
      </c>
    </row>
    <row r="12" spans="1:13" x14ac:dyDescent="0.3">
      <c r="A12" s="211" t="s">
        <v>192</v>
      </c>
      <c r="B12" s="199">
        <v>10</v>
      </c>
      <c r="C12" s="435"/>
    </row>
    <row r="13" spans="1:13" ht="15" thickBot="1" x14ac:dyDescent="0.35">
      <c r="A13" s="212" t="s">
        <v>193</v>
      </c>
      <c r="B13" s="213">
        <v>5</v>
      </c>
      <c r="C13" s="436"/>
    </row>
    <row r="14" spans="1:13" ht="15" hidden="1" thickBot="1" x14ac:dyDescent="0.35">
      <c r="A14" s="192" t="s">
        <v>194</v>
      </c>
      <c r="B14" s="193">
        <v>0</v>
      </c>
    </row>
    <row r="15" spans="1:13" ht="28.2" thickBot="1" x14ac:dyDescent="0.35">
      <c r="A15" s="237" t="s">
        <v>195</v>
      </c>
      <c r="B15" s="238">
        <v>10</v>
      </c>
    </row>
    <row r="16" spans="1:13" ht="15" thickBot="1" x14ac:dyDescent="0.35">
      <c r="A16" s="239" t="s">
        <v>196</v>
      </c>
      <c r="B16" s="240">
        <v>30</v>
      </c>
    </row>
    <row r="17" spans="1:2" ht="15" thickBot="1" x14ac:dyDescent="0.35">
      <c r="A17" s="241" t="s">
        <v>197</v>
      </c>
      <c r="B17" s="242">
        <v>10</v>
      </c>
    </row>
    <row r="18" spans="1:2" x14ac:dyDescent="0.3">
      <c r="A18" s="222" t="s">
        <v>198</v>
      </c>
      <c r="B18" s="223">
        <v>2</v>
      </c>
    </row>
    <row r="19" spans="1:2" x14ac:dyDescent="0.3">
      <c r="A19" s="224" t="s">
        <v>199</v>
      </c>
      <c r="B19" s="225">
        <v>2</v>
      </c>
    </row>
    <row r="20" spans="1:2" x14ac:dyDescent="0.3">
      <c r="A20" s="224" t="s">
        <v>200</v>
      </c>
      <c r="B20" s="225">
        <v>0.5</v>
      </c>
    </row>
    <row r="21" spans="1:2" x14ac:dyDescent="0.3">
      <c r="A21" s="224" t="s">
        <v>201</v>
      </c>
      <c r="B21" s="225">
        <v>2</v>
      </c>
    </row>
    <row r="22" spans="1:2" ht="15" thickBot="1" x14ac:dyDescent="0.35">
      <c r="A22" s="226" t="s">
        <v>202</v>
      </c>
      <c r="B22" s="227">
        <v>3</v>
      </c>
    </row>
    <row r="23" spans="1:2" ht="28.2" thickBot="1" x14ac:dyDescent="0.35">
      <c r="A23" s="214" t="s">
        <v>203</v>
      </c>
      <c r="B23" s="215">
        <f>(SUM(B18,B19,B21)*'ESTIMACIÓN '!Q23)+B22</f>
        <v>3</v>
      </c>
    </row>
    <row r="25" spans="1:2" x14ac:dyDescent="0.3">
      <c r="A25" s="248" t="s">
        <v>204</v>
      </c>
      <c r="B25" s="249">
        <v>9</v>
      </c>
    </row>
  </sheetData>
  <sheetProtection password="D688" sheet="1" objects="1" scenarios="1"/>
  <mergeCells count="11">
    <mergeCell ref="J1:K1"/>
    <mergeCell ref="F1:G1"/>
    <mergeCell ref="C11:C13"/>
    <mergeCell ref="F2:G2"/>
    <mergeCell ref="F3:G3"/>
    <mergeCell ref="J2:K2"/>
    <mergeCell ref="J3:K3"/>
    <mergeCell ref="F4:F5"/>
    <mergeCell ref="F6:G6"/>
    <mergeCell ref="J4:K4"/>
    <mergeCell ref="J5:K5"/>
  </mergeCells>
  <conditionalFormatting sqref="J2:K2">
    <cfRule type="expression" dxfId="4" priority="4">
      <formula>$L$2=0</formula>
    </cfRule>
  </conditionalFormatting>
  <conditionalFormatting sqref="J3:K3">
    <cfRule type="expression" dxfId="3" priority="3">
      <formula>$L$3=0</formula>
    </cfRule>
  </conditionalFormatting>
  <conditionalFormatting sqref="J4:K4">
    <cfRule type="expression" dxfId="2" priority="2">
      <formula>$L$4=0</formula>
    </cfRule>
  </conditionalFormatting>
  <conditionalFormatting sqref="J5:K5">
    <cfRule type="expression" dxfId="1" priority="1">
      <formula>$L$5=0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" id="{99768DC7-A774-4F17-9FE2-8CF419753584}">
            <xm:f>'ESTIMACIÓN '!$Y$4="NO"</xm:f>
            <x14:dxf>
              <fill>
                <patternFill>
                  <bgColor rgb="FFFF0000"/>
                </patternFill>
              </fill>
            </x14:dxf>
          </x14:cfRule>
          <xm:sqref>G5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72350E6-B85D-4FDE-BBC1-0D3876E9D119}">
          <x14:formula1>
            <xm:f>'ESTANDAR HORAS'!$A$35:$A$47</xm:f>
          </x14:formula1>
          <xm:sqref>B18:B19 B21:B22</xm:sqref>
        </x14:dataValidation>
        <x14:dataValidation type="list" allowBlank="1" showInputMessage="1" showErrorMessage="1" xr:uid="{6318497B-061C-4357-BB02-FD79E22BFFA1}">
          <x14:formula1>
            <xm:f>'ESTANDAR HORAS'!$A$35:$A$39</xm:f>
          </x14:formula1>
          <xm:sqref>B20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0B0A5-8769-4206-8005-0AD1112FD741}">
  <sheetPr codeName="Hoja6"/>
  <dimension ref="A1:GW28"/>
  <sheetViews>
    <sheetView zoomScaleNormal="100" workbookViewId="0">
      <selection activeCell="GO8" sqref="GO8"/>
    </sheetView>
  </sheetViews>
  <sheetFormatPr baseColWidth="10" defaultColWidth="11.44140625" defaultRowHeight="14.4" x14ac:dyDescent="0.3"/>
  <cols>
    <col min="1" max="1" width="11.5546875" bestFit="1" customWidth="1"/>
    <col min="2" max="3" width="4" bestFit="1" customWidth="1"/>
    <col min="4" max="4" width="3" bestFit="1" customWidth="1"/>
    <col min="5" max="5" width="4" bestFit="1" customWidth="1"/>
    <col min="6" max="6" width="6" bestFit="1" customWidth="1"/>
    <col min="7" max="7" width="3.5546875" bestFit="1" customWidth="1"/>
    <col min="8" max="8" width="4" bestFit="1" customWidth="1"/>
    <col min="9" max="9" width="5.44140625" customWidth="1"/>
    <col min="10" max="10" width="5" bestFit="1" customWidth="1"/>
    <col min="11" max="11" width="4" bestFit="1" customWidth="1"/>
    <col min="12" max="12" width="3.5546875" bestFit="1" customWidth="1"/>
    <col min="13" max="13" width="3" bestFit="1" customWidth="1"/>
    <col min="14" max="14" width="3.5546875" bestFit="1" customWidth="1"/>
    <col min="15" max="15" width="4.109375" bestFit="1" customWidth="1"/>
    <col min="16" max="16" width="3.5546875" bestFit="1" customWidth="1"/>
    <col min="17" max="17" width="3" bestFit="1" customWidth="1"/>
    <col min="18" max="20" width="4" bestFit="1" customWidth="1"/>
    <col min="21" max="21" width="3.5546875" bestFit="1" customWidth="1"/>
    <col min="22" max="22" width="3" bestFit="1" customWidth="1"/>
    <col min="23" max="23" width="3.5546875" bestFit="1" customWidth="1"/>
    <col min="24" max="24" width="4.109375" bestFit="1" customWidth="1"/>
    <col min="25" max="25" width="3.5546875" bestFit="1" customWidth="1"/>
    <col min="26" max="26" width="3" bestFit="1" customWidth="1"/>
    <col min="27" max="27" width="4" bestFit="1" customWidth="1"/>
    <col min="28" max="28" width="5" bestFit="1" customWidth="1"/>
    <col min="29" max="29" width="3" bestFit="1" customWidth="1"/>
    <col min="30" max="30" width="3.5546875" bestFit="1" customWidth="1"/>
    <col min="31" max="31" width="3" bestFit="1" customWidth="1"/>
    <col min="32" max="32" width="3.5546875" bestFit="1" customWidth="1"/>
    <col min="33" max="33" width="4.109375" bestFit="1" customWidth="1"/>
    <col min="34" max="34" width="3.5546875" bestFit="1" customWidth="1"/>
    <col min="35" max="35" width="3" bestFit="1" customWidth="1"/>
    <col min="36" max="38" width="4" bestFit="1" customWidth="1"/>
    <col min="39" max="39" width="3.5546875" bestFit="1" customWidth="1"/>
    <col min="40" max="40" width="3" bestFit="1" customWidth="1"/>
    <col min="41" max="41" width="3.5546875" bestFit="1" customWidth="1"/>
    <col min="42" max="42" width="4.109375" bestFit="1" customWidth="1"/>
    <col min="43" max="43" width="3.5546875" bestFit="1" customWidth="1"/>
    <col min="44" max="44" width="6" bestFit="1" customWidth="1"/>
    <col min="45" max="46" width="4" bestFit="1" customWidth="1"/>
    <col min="47" max="50" width="4" customWidth="1"/>
    <col min="51" max="51" width="5" customWidth="1"/>
    <col min="52" max="53" width="4" customWidth="1"/>
    <col min="54" max="54" width="5.5546875" customWidth="1"/>
    <col min="55" max="55" width="6" bestFit="1" customWidth="1"/>
    <col min="56" max="56" width="4" bestFit="1" customWidth="1"/>
    <col min="57" max="57" width="3.5546875" bestFit="1" customWidth="1"/>
    <col min="58" max="58" width="3" bestFit="1" customWidth="1"/>
    <col min="59" max="59" width="3.5546875" bestFit="1" customWidth="1"/>
    <col min="60" max="60" width="4.109375" bestFit="1" customWidth="1"/>
    <col min="61" max="61" width="3.5546875" bestFit="1" customWidth="1"/>
    <col min="62" max="62" width="6" bestFit="1" customWidth="1"/>
    <col min="63" max="65" width="4" bestFit="1" customWidth="1"/>
    <col min="66" max="66" width="3.5546875" bestFit="1" customWidth="1"/>
    <col min="67" max="67" width="3" bestFit="1" customWidth="1"/>
    <col min="68" max="68" width="3.5546875" bestFit="1" customWidth="1"/>
    <col min="69" max="69" width="4.109375" bestFit="1" customWidth="1"/>
    <col min="70" max="70" width="3.5546875" bestFit="1" customWidth="1"/>
    <col min="71" max="71" width="3" bestFit="1" customWidth="1"/>
    <col min="72" max="74" width="4" bestFit="1" customWidth="1"/>
    <col min="75" max="75" width="3.5546875" bestFit="1" customWidth="1"/>
    <col min="76" max="76" width="3" bestFit="1" customWidth="1"/>
    <col min="77" max="77" width="3.5546875" bestFit="1" customWidth="1"/>
    <col min="78" max="78" width="4.109375" bestFit="1" customWidth="1"/>
    <col min="79" max="79" width="3.5546875" bestFit="1" customWidth="1"/>
    <col min="80" max="80" width="3" bestFit="1" customWidth="1"/>
    <col min="81" max="83" width="4" bestFit="1" customWidth="1"/>
    <col min="84" max="84" width="3.5546875" bestFit="1" customWidth="1"/>
    <col min="85" max="85" width="3" bestFit="1" customWidth="1"/>
    <col min="86" max="86" width="3.5546875" bestFit="1" customWidth="1"/>
    <col min="87" max="87" width="4.109375" bestFit="1" customWidth="1"/>
    <col min="88" max="88" width="3.5546875" bestFit="1" customWidth="1"/>
    <col min="89" max="89" width="3" bestFit="1" customWidth="1"/>
    <col min="90" max="91" width="4" bestFit="1" customWidth="1"/>
    <col min="92" max="92" width="3" bestFit="1" customWidth="1"/>
    <col min="93" max="93" width="3.5546875" bestFit="1" customWidth="1"/>
    <col min="94" max="94" width="3" bestFit="1" customWidth="1"/>
    <col min="95" max="95" width="3.5546875" bestFit="1" customWidth="1"/>
    <col min="96" max="96" width="4.109375" bestFit="1" customWidth="1"/>
    <col min="97" max="97" width="3.5546875" bestFit="1" customWidth="1"/>
    <col min="98" max="98" width="3" bestFit="1" customWidth="1"/>
    <col min="99" max="100" width="4" bestFit="1" customWidth="1"/>
    <col min="101" max="101" width="3" bestFit="1" customWidth="1"/>
    <col min="102" max="102" width="3.5546875" bestFit="1" customWidth="1"/>
    <col min="103" max="103" width="3" bestFit="1" customWidth="1"/>
    <col min="104" max="104" width="3.5546875" bestFit="1" customWidth="1"/>
    <col min="105" max="105" width="4.109375" bestFit="1" customWidth="1"/>
    <col min="106" max="106" width="3.5546875" bestFit="1" customWidth="1"/>
    <col min="107" max="107" width="3" bestFit="1" customWidth="1"/>
    <col min="108" max="109" width="4" bestFit="1" customWidth="1"/>
    <col min="110" max="110" width="3" bestFit="1" customWidth="1"/>
    <col min="111" max="111" width="3.5546875" bestFit="1" customWidth="1"/>
    <col min="112" max="112" width="3" bestFit="1" customWidth="1"/>
    <col min="113" max="113" width="3.5546875" bestFit="1" customWidth="1"/>
    <col min="114" max="114" width="4.109375" bestFit="1" customWidth="1"/>
    <col min="115" max="115" width="3.5546875" bestFit="1" customWidth="1"/>
    <col min="116" max="116" width="6" bestFit="1" customWidth="1"/>
    <col min="117" max="118" width="4" bestFit="1" customWidth="1"/>
    <col min="119" max="119" width="3" bestFit="1" customWidth="1"/>
    <col min="120" max="120" width="3.5546875" bestFit="1" customWidth="1"/>
    <col min="121" max="121" width="3" bestFit="1" customWidth="1"/>
    <col min="122" max="122" width="3.5546875" bestFit="1" customWidth="1"/>
    <col min="123" max="123" width="4.109375" bestFit="1" customWidth="1"/>
    <col min="124" max="124" width="3.5546875" bestFit="1" customWidth="1"/>
    <col min="125" max="125" width="3" bestFit="1" customWidth="1"/>
    <col min="126" max="127" width="4" bestFit="1" customWidth="1"/>
    <col min="128" max="128" width="3" bestFit="1" customWidth="1"/>
    <col min="129" max="134" width="3" customWidth="1"/>
    <col min="135" max="136" width="4" bestFit="1" customWidth="1"/>
    <col min="137" max="137" width="3" bestFit="1" customWidth="1"/>
    <col min="138" max="143" width="3" customWidth="1"/>
    <col min="144" max="145" width="4" bestFit="1" customWidth="1"/>
    <col min="146" max="146" width="3" bestFit="1" customWidth="1"/>
    <col min="147" max="152" width="3" customWidth="1"/>
    <col min="153" max="154" width="4" bestFit="1" customWidth="1"/>
    <col min="155" max="155" width="3" bestFit="1" customWidth="1"/>
    <col min="156" max="156" width="3.5546875" bestFit="1" customWidth="1"/>
    <col min="157" max="157" width="3" bestFit="1" customWidth="1"/>
    <col min="158" max="158" width="3.5546875" bestFit="1" customWidth="1"/>
    <col min="159" max="159" width="4.109375" bestFit="1" customWidth="1"/>
    <col min="160" max="160" width="3.5546875" bestFit="1" customWidth="1"/>
    <col min="161" max="161" width="3" bestFit="1" customWidth="1"/>
    <col min="162" max="163" width="4" bestFit="1" customWidth="1"/>
    <col min="164" max="164" width="3" bestFit="1" customWidth="1"/>
    <col min="165" max="165" width="3.5546875" bestFit="1" customWidth="1"/>
    <col min="166" max="166" width="3" bestFit="1" customWidth="1"/>
    <col min="167" max="167" width="3.5546875" bestFit="1" customWidth="1"/>
    <col min="168" max="168" width="4.109375" bestFit="1" customWidth="1"/>
    <col min="169" max="169" width="3.5546875" bestFit="1" customWidth="1"/>
    <col min="170" max="170" width="3" bestFit="1" customWidth="1"/>
    <col min="171" max="172" width="4" bestFit="1" customWidth="1"/>
    <col min="173" max="173" width="5" bestFit="1" customWidth="1"/>
    <col min="174" max="174" width="3.5546875" bestFit="1" customWidth="1"/>
    <col min="175" max="175" width="3" bestFit="1" customWidth="1"/>
    <col min="176" max="176" width="3.5546875" bestFit="1" customWidth="1"/>
    <col min="177" max="177" width="4.109375" bestFit="1" customWidth="1"/>
    <col min="178" max="178" width="3.5546875" bestFit="1" customWidth="1"/>
    <col min="179" max="179" width="3" bestFit="1" customWidth="1"/>
    <col min="180" max="181" width="5" bestFit="1" customWidth="1"/>
    <col min="182" max="182" width="3" bestFit="1" customWidth="1"/>
    <col min="183" max="183" width="3.5546875" bestFit="1" customWidth="1"/>
    <col min="184" max="184" width="3" bestFit="1" customWidth="1"/>
    <col min="185" max="185" width="3.5546875" bestFit="1" customWidth="1"/>
    <col min="186" max="186" width="4.109375" bestFit="1" customWidth="1"/>
    <col min="187" max="187" width="3.5546875" bestFit="1" customWidth="1"/>
    <col min="188" max="188" width="3" bestFit="1" customWidth="1"/>
    <col min="189" max="190" width="4" bestFit="1" customWidth="1"/>
    <col min="191" max="193" width="5.33203125" customWidth="1"/>
    <col min="194" max="194" width="6.5546875" bestFit="1" customWidth="1"/>
    <col min="195" max="195" width="5.109375" customWidth="1"/>
    <col min="196" max="196" width="10.88671875" customWidth="1"/>
    <col min="197" max="198" width="7.6640625" customWidth="1"/>
    <col min="199" max="200" width="11" customWidth="1"/>
    <col min="201" max="201" width="7.33203125" customWidth="1"/>
    <col min="202" max="202" width="6.6640625" customWidth="1"/>
    <col min="204" max="205" width="11.44140625" style="5"/>
  </cols>
  <sheetData>
    <row r="1" spans="1:203" s="5" customFormat="1" ht="12" customHeight="1" x14ac:dyDescent="0.3"/>
    <row r="2" spans="1:203" ht="13.5" customHeight="1" x14ac:dyDescent="0.3">
      <c r="A2" s="495" t="s">
        <v>205</v>
      </c>
      <c r="B2" s="496"/>
      <c r="C2" s="496"/>
      <c r="D2" s="496"/>
      <c r="E2" s="496"/>
      <c r="F2" s="496"/>
      <c r="G2" s="496"/>
      <c r="H2" s="496"/>
      <c r="I2" s="496"/>
      <c r="J2" s="496"/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6"/>
      <c r="AD2" s="496"/>
      <c r="AE2" s="496"/>
      <c r="AF2" s="496"/>
      <c r="AG2" s="496"/>
      <c r="AH2" s="496"/>
      <c r="AI2" s="496"/>
      <c r="AJ2" s="496"/>
      <c r="AK2" s="496"/>
      <c r="AL2" s="496"/>
      <c r="AM2" s="496"/>
      <c r="AN2" s="496"/>
      <c r="AO2" s="496"/>
      <c r="AP2" s="496"/>
      <c r="AQ2" s="496"/>
      <c r="AR2" s="496"/>
      <c r="AS2" s="496"/>
      <c r="AT2" s="496"/>
      <c r="AU2" s="496"/>
      <c r="AV2" s="496"/>
      <c r="AW2" s="496"/>
      <c r="AX2" s="496"/>
      <c r="AY2" s="496"/>
      <c r="AZ2" s="496"/>
      <c r="BA2" s="496"/>
      <c r="BB2" s="496"/>
      <c r="BC2" s="496"/>
      <c r="BD2" s="496"/>
      <c r="BE2" s="496"/>
      <c r="BF2" s="496"/>
      <c r="BG2" s="496"/>
      <c r="BH2" s="496"/>
      <c r="BI2" s="496"/>
      <c r="BJ2" s="496"/>
      <c r="BK2" s="496"/>
      <c r="BL2" s="496"/>
      <c r="BM2" s="496"/>
      <c r="BN2" s="496"/>
      <c r="BO2" s="496"/>
      <c r="BP2" s="496"/>
      <c r="BQ2" s="496"/>
      <c r="BR2" s="496"/>
      <c r="BS2" s="496"/>
      <c r="BT2" s="496"/>
      <c r="BU2" s="496"/>
      <c r="BV2" s="496"/>
      <c r="BW2" s="496"/>
      <c r="BX2" s="496"/>
      <c r="BY2" s="496"/>
      <c r="BZ2" s="496"/>
      <c r="CA2" s="496"/>
      <c r="CB2" s="496"/>
      <c r="CC2" s="496"/>
      <c r="CD2" s="496"/>
      <c r="CE2" s="496"/>
      <c r="CF2" s="496"/>
      <c r="CG2" s="496"/>
      <c r="CH2" s="496"/>
      <c r="CI2" s="496"/>
      <c r="CJ2" s="496"/>
      <c r="CK2" s="496"/>
      <c r="CL2" s="496"/>
      <c r="CM2" s="496"/>
      <c r="CN2" s="496"/>
      <c r="CO2" s="496"/>
      <c r="CP2" s="496"/>
      <c r="CQ2" s="496"/>
      <c r="CR2" s="496"/>
      <c r="CS2" s="496"/>
      <c r="CT2" s="496"/>
      <c r="CU2" s="496"/>
      <c r="CV2" s="496"/>
      <c r="CW2" s="496"/>
      <c r="CX2" s="496"/>
      <c r="CY2" s="496"/>
      <c r="CZ2" s="496"/>
      <c r="DA2" s="496"/>
      <c r="DB2" s="496"/>
      <c r="DC2" s="496"/>
      <c r="DD2" s="496"/>
      <c r="DE2" s="496"/>
      <c r="DF2" s="496"/>
      <c r="DG2" s="496"/>
      <c r="DH2" s="496"/>
      <c r="DI2" s="496"/>
      <c r="DJ2" s="496"/>
      <c r="DK2" s="496"/>
      <c r="DL2" s="496"/>
      <c r="DM2" s="496"/>
      <c r="DN2" s="496"/>
      <c r="DO2" s="496"/>
      <c r="DP2" s="496"/>
      <c r="DQ2" s="496"/>
      <c r="DR2" s="496"/>
      <c r="DS2" s="496"/>
      <c r="DT2" s="496"/>
      <c r="DU2" s="496"/>
      <c r="DV2" s="496"/>
      <c r="DW2" s="496"/>
      <c r="DX2" s="496"/>
      <c r="DY2" s="496"/>
      <c r="DZ2" s="496"/>
      <c r="EA2" s="496"/>
      <c r="EB2" s="496"/>
      <c r="EC2" s="496"/>
      <c r="ED2" s="496"/>
      <c r="EE2" s="496"/>
      <c r="EF2" s="496"/>
      <c r="EG2" s="496"/>
      <c r="EH2" s="496"/>
      <c r="EI2" s="496"/>
      <c r="EJ2" s="496"/>
      <c r="EK2" s="496"/>
      <c r="EL2" s="496"/>
      <c r="EM2" s="496"/>
      <c r="EN2" s="496"/>
      <c r="EO2" s="496"/>
      <c r="EP2" s="496"/>
      <c r="EQ2" s="496"/>
      <c r="ER2" s="496"/>
      <c r="ES2" s="496"/>
      <c r="ET2" s="496"/>
      <c r="EU2" s="496"/>
      <c r="EV2" s="496"/>
      <c r="EW2" s="496"/>
      <c r="EX2" s="496"/>
      <c r="EY2" s="496"/>
      <c r="EZ2" s="496"/>
      <c r="FA2" s="496"/>
      <c r="FB2" s="496"/>
      <c r="FC2" s="496"/>
      <c r="FD2" s="496"/>
      <c r="FE2" s="496"/>
      <c r="FF2" s="496"/>
      <c r="FG2" s="496"/>
      <c r="FH2" s="496"/>
      <c r="FI2" s="496"/>
      <c r="FJ2" s="496"/>
      <c r="FK2" s="496"/>
      <c r="FL2" s="496"/>
      <c r="FM2" s="496"/>
      <c r="FN2" s="496"/>
      <c r="FO2" s="496"/>
      <c r="FP2" s="496"/>
      <c r="FQ2" s="496"/>
      <c r="FR2" s="496"/>
      <c r="FS2" s="496"/>
      <c r="FT2" s="496"/>
      <c r="FU2" s="496"/>
      <c r="FV2" s="496"/>
      <c r="FW2" s="496"/>
      <c r="FX2" s="496"/>
      <c r="FY2" s="496"/>
      <c r="FZ2" s="496"/>
      <c r="GA2" s="496"/>
      <c r="GB2" s="496"/>
      <c r="GC2" s="496"/>
      <c r="GD2" s="496"/>
      <c r="GE2" s="496"/>
      <c r="GF2" s="496"/>
      <c r="GG2" s="496"/>
      <c r="GH2" s="496"/>
      <c r="GI2" s="496"/>
      <c r="GJ2" s="496"/>
      <c r="GK2" s="496"/>
      <c r="GL2" s="496"/>
      <c r="GM2" s="5"/>
      <c r="GN2" s="5"/>
      <c r="GO2" s="5"/>
      <c r="GP2" s="5"/>
      <c r="GQ2" s="5"/>
      <c r="GR2" s="5"/>
      <c r="GS2" s="5"/>
      <c r="GT2" s="5"/>
      <c r="GU2" s="5"/>
    </row>
    <row r="3" spans="1:203" ht="14.25" customHeight="1" x14ac:dyDescent="0.3">
      <c r="A3" s="497" t="s">
        <v>206</v>
      </c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8"/>
      <c r="M3" s="498"/>
      <c r="N3" s="498"/>
      <c r="O3" s="498"/>
      <c r="P3" s="498"/>
      <c r="Q3" s="498"/>
      <c r="R3" s="498"/>
      <c r="S3" s="498"/>
      <c r="T3" s="498"/>
      <c r="U3" s="498"/>
      <c r="V3" s="498"/>
      <c r="W3" s="498"/>
      <c r="X3" s="498"/>
      <c r="Y3" s="498"/>
      <c r="Z3" s="498"/>
      <c r="AA3" s="498"/>
      <c r="AB3" s="498"/>
      <c r="AC3" s="498"/>
      <c r="AD3" s="498"/>
      <c r="AE3" s="498"/>
      <c r="AF3" s="498"/>
      <c r="AG3" s="498"/>
      <c r="AH3" s="498"/>
      <c r="AI3" s="498"/>
      <c r="AJ3" s="498"/>
      <c r="AK3" s="498"/>
      <c r="AL3" s="498"/>
      <c r="AM3" s="498"/>
      <c r="AN3" s="498"/>
      <c r="AO3" s="498"/>
      <c r="AP3" s="498"/>
      <c r="AQ3" s="498"/>
      <c r="AR3" s="498"/>
      <c r="AS3" s="498"/>
      <c r="AT3" s="498"/>
      <c r="AU3" s="498"/>
      <c r="AV3" s="498"/>
      <c r="AW3" s="498"/>
      <c r="AX3" s="498"/>
      <c r="AY3" s="498"/>
      <c r="AZ3" s="498"/>
      <c r="BA3" s="498"/>
      <c r="BB3" s="498"/>
      <c r="BC3" s="498"/>
      <c r="BD3" s="498"/>
      <c r="BE3" s="498"/>
      <c r="BF3" s="498"/>
      <c r="BG3" s="498"/>
      <c r="BH3" s="498"/>
      <c r="BI3" s="498"/>
      <c r="BJ3" s="498"/>
      <c r="BK3" s="498"/>
      <c r="BL3" s="498"/>
      <c r="BM3" s="498"/>
      <c r="BN3" s="498"/>
      <c r="BO3" s="498"/>
      <c r="BP3" s="498"/>
      <c r="BQ3" s="498"/>
      <c r="BR3" s="498"/>
      <c r="BS3" s="498"/>
      <c r="BT3" s="498"/>
      <c r="BU3" s="498"/>
      <c r="BV3" s="498"/>
      <c r="BW3" s="498"/>
      <c r="BX3" s="498"/>
      <c r="BY3" s="498"/>
      <c r="BZ3" s="498"/>
      <c r="CA3" s="498"/>
      <c r="CB3" s="498"/>
      <c r="CC3" s="498"/>
      <c r="CD3" s="498"/>
      <c r="CE3" s="498"/>
      <c r="CF3" s="498"/>
      <c r="CG3" s="498"/>
      <c r="CH3" s="498"/>
      <c r="CI3" s="498"/>
      <c r="CJ3" s="498"/>
      <c r="CK3" s="498"/>
      <c r="CL3" s="498"/>
      <c r="CM3" s="498"/>
      <c r="CN3" s="498"/>
      <c r="CO3" s="498"/>
      <c r="CP3" s="498"/>
      <c r="CQ3" s="498"/>
      <c r="CR3" s="498"/>
      <c r="CS3" s="498"/>
      <c r="CT3" s="498"/>
      <c r="CU3" s="498"/>
      <c r="CV3" s="498"/>
      <c r="CW3" s="498"/>
      <c r="CX3" s="498"/>
      <c r="CY3" s="498"/>
      <c r="CZ3" s="498"/>
      <c r="DA3" s="498"/>
      <c r="DB3" s="498"/>
      <c r="DC3" s="498"/>
      <c r="DD3" s="498"/>
      <c r="DE3" s="498"/>
      <c r="DF3" s="498"/>
      <c r="DG3" s="498"/>
      <c r="DH3" s="498"/>
      <c r="DI3" s="498"/>
      <c r="DJ3" s="498"/>
      <c r="DK3" s="498"/>
      <c r="DL3" s="498"/>
      <c r="DM3" s="498"/>
      <c r="DN3" s="498"/>
      <c r="DO3" s="498"/>
      <c r="DP3" s="498"/>
      <c r="DQ3" s="498"/>
      <c r="DR3" s="498"/>
      <c r="DS3" s="498"/>
      <c r="DT3" s="498"/>
      <c r="DU3" s="498"/>
      <c r="DV3" s="498"/>
      <c r="DW3" s="498"/>
      <c r="DX3" s="498"/>
      <c r="DY3" s="498"/>
      <c r="DZ3" s="498"/>
      <c r="EA3" s="498"/>
      <c r="EB3" s="498"/>
      <c r="EC3" s="498"/>
      <c r="ED3" s="498"/>
      <c r="EE3" s="498"/>
      <c r="EF3" s="498"/>
      <c r="EG3" s="498"/>
      <c r="EH3" s="498"/>
      <c r="EI3" s="498"/>
      <c r="EJ3" s="498"/>
      <c r="EK3" s="498"/>
      <c r="EL3" s="498"/>
      <c r="EM3" s="498"/>
      <c r="EN3" s="498"/>
      <c r="EO3" s="498"/>
      <c r="EP3" s="498"/>
      <c r="EQ3" s="498"/>
      <c r="ER3" s="498"/>
      <c r="ES3" s="498"/>
      <c r="ET3" s="498"/>
      <c r="EU3" s="498"/>
      <c r="EV3" s="498"/>
      <c r="EW3" s="498"/>
      <c r="EX3" s="498"/>
      <c r="EY3" s="498"/>
      <c r="EZ3" s="498"/>
      <c r="FA3" s="498"/>
      <c r="FB3" s="498"/>
      <c r="FC3" s="498"/>
      <c r="FD3" s="498"/>
      <c r="FE3" s="498"/>
      <c r="FF3" s="498"/>
      <c r="FG3" s="498"/>
      <c r="FH3" s="498"/>
      <c r="FI3" s="498"/>
      <c r="FJ3" s="498"/>
      <c r="FK3" s="498"/>
      <c r="FL3" s="498"/>
      <c r="FM3" s="498"/>
      <c r="FN3" s="498"/>
      <c r="FO3" s="498"/>
      <c r="FP3" s="498"/>
      <c r="FQ3" s="498"/>
      <c r="FR3" s="498"/>
      <c r="FS3" s="498"/>
      <c r="FT3" s="498"/>
      <c r="FU3" s="498"/>
      <c r="FV3" s="498"/>
      <c r="FW3" s="498"/>
      <c r="FX3" s="498"/>
      <c r="FY3" s="498"/>
      <c r="FZ3" s="498"/>
      <c r="GA3" s="498"/>
      <c r="GB3" s="498"/>
      <c r="GC3" s="498"/>
      <c r="GD3" s="498"/>
      <c r="GE3" s="498"/>
      <c r="GF3" s="498"/>
      <c r="GG3" s="498"/>
      <c r="GH3" s="498"/>
      <c r="GI3" s="498"/>
      <c r="GJ3" s="498"/>
      <c r="GK3" s="498"/>
      <c r="GL3" s="498"/>
      <c r="GM3" s="72"/>
      <c r="GN3" s="72"/>
      <c r="GO3" s="73"/>
      <c r="GP3" s="73"/>
      <c r="GQ3" s="73"/>
      <c r="GR3" s="73"/>
      <c r="GS3" s="73"/>
      <c r="GT3" s="73"/>
      <c r="GU3" s="5"/>
    </row>
    <row r="4" spans="1:203" ht="12.75" customHeight="1" x14ac:dyDescent="0.3">
      <c r="A4" s="24">
        <f>'ADMIN TIEMPOS'!B14</f>
        <v>0</v>
      </c>
      <c r="B4" s="499" t="s">
        <v>207</v>
      </c>
      <c r="C4" s="499"/>
      <c r="D4" s="499"/>
      <c r="E4" s="499"/>
      <c r="F4" s="499"/>
      <c r="G4" s="499"/>
      <c r="H4" s="499"/>
      <c r="I4" s="499"/>
      <c r="J4" s="499"/>
      <c r="K4" s="500" t="s">
        <v>208</v>
      </c>
      <c r="L4" s="500"/>
      <c r="M4" s="500"/>
      <c r="N4" s="500"/>
      <c r="O4" s="500"/>
      <c r="P4" s="500"/>
      <c r="Q4" s="500"/>
      <c r="R4" s="500"/>
      <c r="S4" s="500"/>
      <c r="T4" s="500" t="s">
        <v>209</v>
      </c>
      <c r="U4" s="500"/>
      <c r="V4" s="500"/>
      <c r="W4" s="500"/>
      <c r="X4" s="500"/>
      <c r="Y4" s="500"/>
      <c r="Z4" s="500"/>
      <c r="AA4" s="500"/>
      <c r="AB4" s="500"/>
      <c r="AC4" s="501" t="s">
        <v>210</v>
      </c>
      <c r="AD4" s="501"/>
      <c r="AE4" s="501"/>
      <c r="AF4" s="501"/>
      <c r="AG4" s="501"/>
      <c r="AH4" s="501"/>
      <c r="AI4" s="501"/>
      <c r="AJ4" s="501"/>
      <c r="AK4" s="501"/>
      <c r="AL4" s="480" t="s">
        <v>211</v>
      </c>
      <c r="AM4" s="480"/>
      <c r="AN4" s="480"/>
      <c r="AO4" s="480"/>
      <c r="AP4" s="480"/>
      <c r="AQ4" s="480"/>
      <c r="AR4" s="480"/>
      <c r="AS4" s="480"/>
      <c r="AT4" s="480"/>
      <c r="AU4" s="480" t="s">
        <v>173</v>
      </c>
      <c r="AV4" s="480"/>
      <c r="AW4" s="480"/>
      <c r="AX4" s="480"/>
      <c r="AY4" s="480"/>
      <c r="AZ4" s="480"/>
      <c r="BA4" s="480"/>
      <c r="BB4" s="480"/>
      <c r="BC4" s="480"/>
      <c r="BD4" s="489" t="s">
        <v>212</v>
      </c>
      <c r="BE4" s="490"/>
      <c r="BF4" s="490"/>
      <c r="BG4" s="490"/>
      <c r="BH4" s="490"/>
      <c r="BI4" s="490"/>
      <c r="BJ4" s="490"/>
      <c r="BK4" s="490"/>
      <c r="BL4" s="491"/>
      <c r="BM4" s="483" t="s">
        <v>213</v>
      </c>
      <c r="BN4" s="484"/>
      <c r="BO4" s="484"/>
      <c r="BP4" s="484"/>
      <c r="BQ4" s="484"/>
      <c r="BR4" s="484"/>
      <c r="BS4" s="484"/>
      <c r="BT4" s="484"/>
      <c r="BU4" s="485"/>
      <c r="BV4" s="500" t="s">
        <v>214</v>
      </c>
      <c r="BW4" s="500"/>
      <c r="BX4" s="500"/>
      <c r="BY4" s="500"/>
      <c r="BZ4" s="500"/>
      <c r="CA4" s="500"/>
      <c r="CB4" s="500"/>
      <c r="CC4" s="500"/>
      <c r="CD4" s="500"/>
      <c r="CE4" s="483" t="s">
        <v>215</v>
      </c>
      <c r="CF4" s="484"/>
      <c r="CG4" s="484"/>
      <c r="CH4" s="484"/>
      <c r="CI4" s="484"/>
      <c r="CJ4" s="484"/>
      <c r="CK4" s="484"/>
      <c r="CL4" s="484"/>
      <c r="CM4" s="485"/>
      <c r="CN4" s="489" t="s">
        <v>216</v>
      </c>
      <c r="CO4" s="490"/>
      <c r="CP4" s="490"/>
      <c r="CQ4" s="490"/>
      <c r="CR4" s="490"/>
      <c r="CS4" s="490"/>
      <c r="CT4" s="490"/>
      <c r="CU4" s="490"/>
      <c r="CV4" s="491"/>
      <c r="CW4" s="489" t="s">
        <v>217</v>
      </c>
      <c r="CX4" s="490"/>
      <c r="CY4" s="490"/>
      <c r="CZ4" s="490"/>
      <c r="DA4" s="490"/>
      <c r="DB4" s="490"/>
      <c r="DC4" s="490"/>
      <c r="DD4" s="490"/>
      <c r="DE4" s="491"/>
      <c r="DF4" s="483" t="s">
        <v>218</v>
      </c>
      <c r="DG4" s="484"/>
      <c r="DH4" s="484"/>
      <c r="DI4" s="484"/>
      <c r="DJ4" s="484"/>
      <c r="DK4" s="484"/>
      <c r="DL4" s="484"/>
      <c r="DM4" s="484"/>
      <c r="DN4" s="485"/>
      <c r="DO4" s="483" t="s">
        <v>219</v>
      </c>
      <c r="DP4" s="484"/>
      <c r="DQ4" s="484"/>
      <c r="DR4" s="484"/>
      <c r="DS4" s="484"/>
      <c r="DT4" s="484"/>
      <c r="DU4" s="484"/>
      <c r="DV4" s="484"/>
      <c r="DW4" s="485"/>
      <c r="DX4" s="489" t="s">
        <v>220</v>
      </c>
      <c r="DY4" s="490"/>
      <c r="DZ4" s="490"/>
      <c r="EA4" s="490"/>
      <c r="EB4" s="490"/>
      <c r="EC4" s="490"/>
      <c r="ED4" s="490"/>
      <c r="EE4" s="490"/>
      <c r="EF4" s="491"/>
      <c r="EG4" s="489" t="s">
        <v>221</v>
      </c>
      <c r="EH4" s="490"/>
      <c r="EI4" s="490"/>
      <c r="EJ4" s="490"/>
      <c r="EK4" s="490"/>
      <c r="EL4" s="490"/>
      <c r="EM4" s="490"/>
      <c r="EN4" s="490"/>
      <c r="EO4" s="491"/>
      <c r="EP4" s="489" t="s">
        <v>222</v>
      </c>
      <c r="EQ4" s="490"/>
      <c r="ER4" s="490"/>
      <c r="ES4" s="490"/>
      <c r="ET4" s="490"/>
      <c r="EU4" s="490"/>
      <c r="EV4" s="490"/>
      <c r="EW4" s="490"/>
      <c r="EX4" s="491"/>
      <c r="EY4" s="483" t="s">
        <v>223</v>
      </c>
      <c r="EZ4" s="484"/>
      <c r="FA4" s="484"/>
      <c r="FB4" s="484"/>
      <c r="FC4" s="484"/>
      <c r="FD4" s="484"/>
      <c r="FE4" s="484"/>
      <c r="FF4" s="484"/>
      <c r="FG4" s="485"/>
      <c r="FH4" s="483" t="s">
        <v>224</v>
      </c>
      <c r="FI4" s="484"/>
      <c r="FJ4" s="484"/>
      <c r="FK4" s="484"/>
      <c r="FL4" s="484"/>
      <c r="FM4" s="484"/>
      <c r="FN4" s="484"/>
      <c r="FO4" s="484"/>
      <c r="FP4" s="485"/>
      <c r="FQ4" s="489" t="s">
        <v>225</v>
      </c>
      <c r="FR4" s="490"/>
      <c r="FS4" s="490"/>
      <c r="FT4" s="490"/>
      <c r="FU4" s="490"/>
      <c r="FV4" s="490"/>
      <c r="FW4" s="490"/>
      <c r="FX4" s="490"/>
      <c r="FY4" s="491"/>
      <c r="FZ4" s="489" t="s">
        <v>226</v>
      </c>
      <c r="GA4" s="490"/>
      <c r="GB4" s="490"/>
      <c r="GC4" s="490"/>
      <c r="GD4" s="490"/>
      <c r="GE4" s="490"/>
      <c r="GF4" s="490"/>
      <c r="GG4" s="490"/>
      <c r="GH4" s="491"/>
      <c r="GI4" s="489" t="s">
        <v>227</v>
      </c>
      <c r="GJ4" s="490"/>
      <c r="GK4" s="491"/>
      <c r="GL4" s="481" t="s">
        <v>228</v>
      </c>
      <c r="GM4" s="5"/>
      <c r="GN4" s="76"/>
      <c r="GO4" s="76"/>
      <c r="GP4" s="76"/>
      <c r="GQ4" s="87"/>
      <c r="GR4" s="87"/>
      <c r="GS4" s="6"/>
      <c r="GT4" s="5"/>
      <c r="GU4" s="5"/>
    </row>
    <row r="5" spans="1:203" ht="12" customHeight="1" x14ac:dyDescent="0.3">
      <c r="A5" s="25"/>
      <c r="B5" s="499"/>
      <c r="C5" s="499"/>
      <c r="D5" s="499"/>
      <c r="E5" s="499"/>
      <c r="F5" s="499"/>
      <c r="G5" s="499"/>
      <c r="H5" s="499"/>
      <c r="I5" s="499"/>
      <c r="J5" s="499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/>
      <c r="AC5" s="501"/>
      <c r="AD5" s="501"/>
      <c r="AE5" s="501"/>
      <c r="AF5" s="501"/>
      <c r="AG5" s="501"/>
      <c r="AH5" s="501"/>
      <c r="AI5" s="501"/>
      <c r="AJ5" s="501"/>
      <c r="AK5" s="501"/>
      <c r="AL5" s="480"/>
      <c r="AM5" s="480"/>
      <c r="AN5" s="480"/>
      <c r="AO5" s="480"/>
      <c r="AP5" s="480"/>
      <c r="AQ5" s="480"/>
      <c r="AR5" s="480"/>
      <c r="AS5" s="480"/>
      <c r="AT5" s="480"/>
      <c r="AU5" s="480"/>
      <c r="AV5" s="480"/>
      <c r="AW5" s="480"/>
      <c r="AX5" s="480"/>
      <c r="AY5" s="480"/>
      <c r="AZ5" s="480"/>
      <c r="BA5" s="480"/>
      <c r="BB5" s="480"/>
      <c r="BC5" s="480"/>
      <c r="BD5" s="492"/>
      <c r="BE5" s="493"/>
      <c r="BF5" s="493"/>
      <c r="BG5" s="493"/>
      <c r="BH5" s="493"/>
      <c r="BI5" s="493"/>
      <c r="BJ5" s="493"/>
      <c r="BK5" s="493"/>
      <c r="BL5" s="494"/>
      <c r="BM5" s="486"/>
      <c r="BN5" s="487"/>
      <c r="BO5" s="487"/>
      <c r="BP5" s="487"/>
      <c r="BQ5" s="487"/>
      <c r="BR5" s="487"/>
      <c r="BS5" s="487"/>
      <c r="BT5" s="487"/>
      <c r="BU5" s="488"/>
      <c r="BV5" s="500"/>
      <c r="BW5" s="500"/>
      <c r="BX5" s="500"/>
      <c r="BY5" s="500"/>
      <c r="BZ5" s="500"/>
      <c r="CA5" s="500"/>
      <c r="CB5" s="500"/>
      <c r="CC5" s="500"/>
      <c r="CD5" s="500"/>
      <c r="CE5" s="486"/>
      <c r="CF5" s="487"/>
      <c r="CG5" s="487"/>
      <c r="CH5" s="487"/>
      <c r="CI5" s="487"/>
      <c r="CJ5" s="487"/>
      <c r="CK5" s="487"/>
      <c r="CL5" s="487"/>
      <c r="CM5" s="488"/>
      <c r="CN5" s="492"/>
      <c r="CO5" s="493"/>
      <c r="CP5" s="493"/>
      <c r="CQ5" s="493"/>
      <c r="CR5" s="493"/>
      <c r="CS5" s="493"/>
      <c r="CT5" s="493"/>
      <c r="CU5" s="493"/>
      <c r="CV5" s="494"/>
      <c r="CW5" s="492"/>
      <c r="CX5" s="493"/>
      <c r="CY5" s="493"/>
      <c r="CZ5" s="493"/>
      <c r="DA5" s="493"/>
      <c r="DB5" s="493"/>
      <c r="DC5" s="493"/>
      <c r="DD5" s="493"/>
      <c r="DE5" s="494"/>
      <c r="DF5" s="486"/>
      <c r="DG5" s="487"/>
      <c r="DH5" s="487"/>
      <c r="DI5" s="487"/>
      <c r="DJ5" s="487"/>
      <c r="DK5" s="487"/>
      <c r="DL5" s="487"/>
      <c r="DM5" s="487"/>
      <c r="DN5" s="488"/>
      <c r="DO5" s="486"/>
      <c r="DP5" s="487"/>
      <c r="DQ5" s="487"/>
      <c r="DR5" s="487"/>
      <c r="DS5" s="487"/>
      <c r="DT5" s="487"/>
      <c r="DU5" s="487"/>
      <c r="DV5" s="487"/>
      <c r="DW5" s="488"/>
      <c r="DX5" s="492"/>
      <c r="DY5" s="493"/>
      <c r="DZ5" s="493"/>
      <c r="EA5" s="493"/>
      <c r="EB5" s="493"/>
      <c r="EC5" s="493"/>
      <c r="ED5" s="493"/>
      <c r="EE5" s="493"/>
      <c r="EF5" s="494"/>
      <c r="EG5" s="492"/>
      <c r="EH5" s="493"/>
      <c r="EI5" s="493"/>
      <c r="EJ5" s="493"/>
      <c r="EK5" s="493"/>
      <c r="EL5" s="493"/>
      <c r="EM5" s="493"/>
      <c r="EN5" s="493"/>
      <c r="EO5" s="494"/>
      <c r="EP5" s="492"/>
      <c r="EQ5" s="493"/>
      <c r="ER5" s="493"/>
      <c r="ES5" s="493"/>
      <c r="ET5" s="493"/>
      <c r="EU5" s="493"/>
      <c r="EV5" s="493"/>
      <c r="EW5" s="493"/>
      <c r="EX5" s="494"/>
      <c r="EY5" s="486"/>
      <c r="EZ5" s="487"/>
      <c r="FA5" s="487"/>
      <c r="FB5" s="487"/>
      <c r="FC5" s="487"/>
      <c r="FD5" s="487"/>
      <c r="FE5" s="487"/>
      <c r="FF5" s="487"/>
      <c r="FG5" s="488"/>
      <c r="FH5" s="486"/>
      <c r="FI5" s="487"/>
      <c r="FJ5" s="487"/>
      <c r="FK5" s="487"/>
      <c r="FL5" s="487"/>
      <c r="FM5" s="487"/>
      <c r="FN5" s="487"/>
      <c r="FO5" s="487"/>
      <c r="FP5" s="488"/>
      <c r="FQ5" s="492"/>
      <c r="FR5" s="493"/>
      <c r="FS5" s="493"/>
      <c r="FT5" s="493"/>
      <c r="FU5" s="493"/>
      <c r="FV5" s="493"/>
      <c r="FW5" s="493"/>
      <c r="FX5" s="493"/>
      <c r="FY5" s="494"/>
      <c r="FZ5" s="492"/>
      <c r="GA5" s="493"/>
      <c r="GB5" s="493"/>
      <c r="GC5" s="493"/>
      <c r="GD5" s="493"/>
      <c r="GE5" s="493"/>
      <c r="GF5" s="493"/>
      <c r="GG5" s="493"/>
      <c r="GH5" s="494"/>
      <c r="GI5" s="492"/>
      <c r="GJ5" s="493"/>
      <c r="GK5" s="494"/>
      <c r="GL5" s="482"/>
      <c r="GM5" s="5"/>
      <c r="GN5" s="219">
        <f>'ADMIN TIEMPOS'!H2</f>
        <v>10</v>
      </c>
      <c r="GO5" s="103">
        <f>'ADMIN TIEMPOS'!H3</f>
        <v>30</v>
      </c>
      <c r="GP5" s="21">
        <v>100</v>
      </c>
      <c r="GQ5" s="21">
        <f>'ADMIN TIEMPOS'!H4</f>
        <v>50</v>
      </c>
      <c r="GR5" s="154">
        <f>'ADMIN TIEMPOS'!H5</f>
        <v>25</v>
      </c>
      <c r="GS5" s="154">
        <f>'ADMIN TIEMPOS'!H6</f>
        <v>5</v>
      </c>
      <c r="GT5" s="86"/>
      <c r="GU5" s="5"/>
    </row>
    <row r="6" spans="1:203" ht="17.25" customHeight="1" x14ac:dyDescent="0.3">
      <c r="A6" s="26"/>
      <c r="B6" s="14" t="s">
        <v>176</v>
      </c>
      <c r="C6" s="14" t="s">
        <v>178</v>
      </c>
      <c r="D6" s="14" t="s">
        <v>170</v>
      </c>
      <c r="E6" s="15" t="s">
        <v>168</v>
      </c>
      <c r="F6" s="15" t="s">
        <v>185</v>
      </c>
      <c r="G6" s="15" t="s">
        <v>186</v>
      </c>
      <c r="H6" s="12" t="s">
        <v>187</v>
      </c>
      <c r="I6" s="12" t="s">
        <v>188</v>
      </c>
      <c r="J6" s="12" t="s">
        <v>189</v>
      </c>
      <c r="K6" s="14" t="s">
        <v>176</v>
      </c>
      <c r="L6" s="14" t="s">
        <v>178</v>
      </c>
      <c r="M6" s="14" t="s">
        <v>170</v>
      </c>
      <c r="N6" s="15" t="s">
        <v>168</v>
      </c>
      <c r="O6" s="15" t="s">
        <v>185</v>
      </c>
      <c r="P6" s="15" t="s">
        <v>186</v>
      </c>
      <c r="Q6" s="12" t="s">
        <v>187</v>
      </c>
      <c r="R6" s="12" t="s">
        <v>188</v>
      </c>
      <c r="S6" s="12" t="s">
        <v>189</v>
      </c>
      <c r="T6" s="14" t="s">
        <v>176</v>
      </c>
      <c r="U6" s="14" t="s">
        <v>178</v>
      </c>
      <c r="V6" s="14" t="s">
        <v>170</v>
      </c>
      <c r="W6" s="15" t="s">
        <v>168</v>
      </c>
      <c r="X6" s="15" t="s">
        <v>185</v>
      </c>
      <c r="Y6" s="15" t="s">
        <v>186</v>
      </c>
      <c r="Z6" s="12" t="s">
        <v>187</v>
      </c>
      <c r="AA6" s="12" t="s">
        <v>188</v>
      </c>
      <c r="AB6" s="12" t="s">
        <v>189</v>
      </c>
      <c r="AC6" s="14" t="s">
        <v>176</v>
      </c>
      <c r="AD6" s="14" t="s">
        <v>178</v>
      </c>
      <c r="AE6" s="14" t="s">
        <v>170</v>
      </c>
      <c r="AF6" s="15" t="s">
        <v>168</v>
      </c>
      <c r="AG6" s="15" t="s">
        <v>185</v>
      </c>
      <c r="AH6" s="15" t="s">
        <v>186</v>
      </c>
      <c r="AI6" s="12" t="s">
        <v>187</v>
      </c>
      <c r="AJ6" s="12" t="s">
        <v>188</v>
      </c>
      <c r="AK6" s="12" t="s">
        <v>189</v>
      </c>
      <c r="AL6" s="14" t="s">
        <v>176</v>
      </c>
      <c r="AM6" s="14" t="s">
        <v>178</v>
      </c>
      <c r="AN6" s="14" t="s">
        <v>170</v>
      </c>
      <c r="AO6" s="15" t="s">
        <v>168</v>
      </c>
      <c r="AP6" s="15" t="s">
        <v>185</v>
      </c>
      <c r="AQ6" s="15" t="s">
        <v>186</v>
      </c>
      <c r="AR6" s="12" t="s">
        <v>187</v>
      </c>
      <c r="AS6" s="12" t="s">
        <v>188</v>
      </c>
      <c r="AT6" s="12" t="s">
        <v>189</v>
      </c>
      <c r="AU6" s="14" t="s">
        <v>176</v>
      </c>
      <c r="AV6" s="14" t="s">
        <v>178</v>
      </c>
      <c r="AW6" s="14" t="s">
        <v>170</v>
      </c>
      <c r="AX6" s="15" t="s">
        <v>168</v>
      </c>
      <c r="AY6" s="15" t="s">
        <v>185</v>
      </c>
      <c r="AZ6" s="15" t="s">
        <v>186</v>
      </c>
      <c r="BA6" s="12" t="s">
        <v>187</v>
      </c>
      <c r="BB6" s="12" t="s">
        <v>188</v>
      </c>
      <c r="BC6" s="12" t="s">
        <v>189</v>
      </c>
      <c r="BD6" s="14" t="s">
        <v>176</v>
      </c>
      <c r="BE6" s="14" t="s">
        <v>178</v>
      </c>
      <c r="BF6" s="14" t="s">
        <v>170</v>
      </c>
      <c r="BG6" s="15" t="s">
        <v>168</v>
      </c>
      <c r="BH6" s="15" t="s">
        <v>185</v>
      </c>
      <c r="BI6" s="15" t="s">
        <v>186</v>
      </c>
      <c r="BJ6" s="12" t="s">
        <v>187</v>
      </c>
      <c r="BK6" s="12" t="s">
        <v>188</v>
      </c>
      <c r="BL6" s="12" t="s">
        <v>189</v>
      </c>
      <c r="BM6" s="14" t="s">
        <v>176</v>
      </c>
      <c r="BN6" s="14" t="s">
        <v>178</v>
      </c>
      <c r="BO6" s="14" t="s">
        <v>170</v>
      </c>
      <c r="BP6" s="15" t="s">
        <v>168</v>
      </c>
      <c r="BQ6" s="15" t="s">
        <v>185</v>
      </c>
      <c r="BR6" s="15" t="s">
        <v>186</v>
      </c>
      <c r="BS6" s="12" t="s">
        <v>187</v>
      </c>
      <c r="BT6" s="12" t="s">
        <v>188</v>
      </c>
      <c r="BU6" s="12" t="s">
        <v>189</v>
      </c>
      <c r="BV6" s="14" t="s">
        <v>176</v>
      </c>
      <c r="BW6" s="14" t="s">
        <v>178</v>
      </c>
      <c r="BX6" s="14" t="s">
        <v>170</v>
      </c>
      <c r="BY6" s="15" t="s">
        <v>168</v>
      </c>
      <c r="BZ6" s="15" t="s">
        <v>185</v>
      </c>
      <c r="CA6" s="15" t="s">
        <v>186</v>
      </c>
      <c r="CB6" s="12" t="s">
        <v>187</v>
      </c>
      <c r="CC6" s="12" t="s">
        <v>188</v>
      </c>
      <c r="CD6" s="12" t="s">
        <v>189</v>
      </c>
      <c r="CE6" s="14" t="s">
        <v>176</v>
      </c>
      <c r="CF6" s="14" t="s">
        <v>178</v>
      </c>
      <c r="CG6" s="14" t="s">
        <v>170</v>
      </c>
      <c r="CH6" s="15" t="s">
        <v>168</v>
      </c>
      <c r="CI6" s="15" t="s">
        <v>185</v>
      </c>
      <c r="CJ6" s="15" t="s">
        <v>186</v>
      </c>
      <c r="CK6" s="12" t="s">
        <v>187</v>
      </c>
      <c r="CL6" s="12" t="s">
        <v>188</v>
      </c>
      <c r="CM6" s="12" t="s">
        <v>189</v>
      </c>
      <c r="CN6" s="14" t="s">
        <v>176</v>
      </c>
      <c r="CO6" s="14" t="s">
        <v>178</v>
      </c>
      <c r="CP6" s="14" t="s">
        <v>170</v>
      </c>
      <c r="CQ6" s="15" t="s">
        <v>168</v>
      </c>
      <c r="CR6" s="15" t="s">
        <v>185</v>
      </c>
      <c r="CS6" s="15" t="s">
        <v>186</v>
      </c>
      <c r="CT6" s="12" t="s">
        <v>187</v>
      </c>
      <c r="CU6" s="12" t="s">
        <v>188</v>
      </c>
      <c r="CV6" s="12" t="s">
        <v>189</v>
      </c>
      <c r="CW6" s="14" t="s">
        <v>176</v>
      </c>
      <c r="CX6" s="14" t="s">
        <v>178</v>
      </c>
      <c r="CY6" s="14" t="s">
        <v>170</v>
      </c>
      <c r="CZ6" s="15" t="s">
        <v>168</v>
      </c>
      <c r="DA6" s="15" t="s">
        <v>185</v>
      </c>
      <c r="DB6" s="15" t="s">
        <v>186</v>
      </c>
      <c r="DC6" s="12" t="s">
        <v>187</v>
      </c>
      <c r="DD6" s="12" t="s">
        <v>188</v>
      </c>
      <c r="DE6" s="12" t="s">
        <v>189</v>
      </c>
      <c r="DF6" s="14" t="s">
        <v>176</v>
      </c>
      <c r="DG6" s="14" t="s">
        <v>178</v>
      </c>
      <c r="DH6" s="14" t="s">
        <v>170</v>
      </c>
      <c r="DI6" s="15" t="s">
        <v>168</v>
      </c>
      <c r="DJ6" s="15" t="s">
        <v>185</v>
      </c>
      <c r="DK6" s="15" t="s">
        <v>186</v>
      </c>
      <c r="DL6" s="12" t="s">
        <v>187</v>
      </c>
      <c r="DM6" s="12" t="s">
        <v>188</v>
      </c>
      <c r="DN6" s="12" t="s">
        <v>189</v>
      </c>
      <c r="DO6" s="14" t="s">
        <v>176</v>
      </c>
      <c r="DP6" s="14" t="s">
        <v>178</v>
      </c>
      <c r="DQ6" s="14" t="s">
        <v>170</v>
      </c>
      <c r="DR6" s="15" t="s">
        <v>168</v>
      </c>
      <c r="DS6" s="15" t="s">
        <v>185</v>
      </c>
      <c r="DT6" s="15" t="s">
        <v>186</v>
      </c>
      <c r="DU6" s="12" t="s">
        <v>187</v>
      </c>
      <c r="DV6" s="12" t="s">
        <v>188</v>
      </c>
      <c r="DW6" s="12" t="s">
        <v>189</v>
      </c>
      <c r="DX6" s="14" t="s">
        <v>176</v>
      </c>
      <c r="DY6" s="14" t="s">
        <v>178</v>
      </c>
      <c r="DZ6" s="14" t="s">
        <v>170</v>
      </c>
      <c r="EA6" s="15" t="s">
        <v>168</v>
      </c>
      <c r="EB6" s="15" t="s">
        <v>185</v>
      </c>
      <c r="EC6" s="15" t="s">
        <v>186</v>
      </c>
      <c r="ED6" s="12" t="s">
        <v>187</v>
      </c>
      <c r="EE6" s="12" t="s">
        <v>188</v>
      </c>
      <c r="EF6" s="12" t="s">
        <v>189</v>
      </c>
      <c r="EG6" s="14" t="s">
        <v>176</v>
      </c>
      <c r="EH6" s="14" t="s">
        <v>178</v>
      </c>
      <c r="EI6" s="14" t="s">
        <v>170</v>
      </c>
      <c r="EJ6" s="15" t="s">
        <v>168</v>
      </c>
      <c r="EK6" s="15" t="s">
        <v>185</v>
      </c>
      <c r="EL6" s="15" t="s">
        <v>186</v>
      </c>
      <c r="EM6" s="12" t="s">
        <v>187</v>
      </c>
      <c r="EN6" s="12" t="s">
        <v>188</v>
      </c>
      <c r="EO6" s="12" t="s">
        <v>189</v>
      </c>
      <c r="EP6" s="14" t="s">
        <v>176</v>
      </c>
      <c r="EQ6" s="14" t="s">
        <v>178</v>
      </c>
      <c r="ER6" s="14" t="s">
        <v>170</v>
      </c>
      <c r="ES6" s="15" t="s">
        <v>168</v>
      </c>
      <c r="ET6" s="15" t="s">
        <v>185</v>
      </c>
      <c r="EU6" s="15" t="s">
        <v>186</v>
      </c>
      <c r="EV6" s="12" t="s">
        <v>187</v>
      </c>
      <c r="EW6" s="12" t="s">
        <v>188</v>
      </c>
      <c r="EX6" s="12" t="s">
        <v>189</v>
      </c>
      <c r="EY6" s="14" t="s">
        <v>176</v>
      </c>
      <c r="EZ6" s="14" t="s">
        <v>178</v>
      </c>
      <c r="FA6" s="14" t="s">
        <v>170</v>
      </c>
      <c r="FB6" s="15" t="s">
        <v>168</v>
      </c>
      <c r="FC6" s="15" t="s">
        <v>185</v>
      </c>
      <c r="FD6" s="15" t="s">
        <v>186</v>
      </c>
      <c r="FE6" s="12" t="s">
        <v>187</v>
      </c>
      <c r="FF6" s="12" t="s">
        <v>188</v>
      </c>
      <c r="FG6" s="12" t="s">
        <v>189</v>
      </c>
      <c r="FH6" s="14" t="s">
        <v>176</v>
      </c>
      <c r="FI6" s="14" t="s">
        <v>178</v>
      </c>
      <c r="FJ6" s="14" t="s">
        <v>170</v>
      </c>
      <c r="FK6" s="15" t="s">
        <v>168</v>
      </c>
      <c r="FL6" s="15" t="s">
        <v>185</v>
      </c>
      <c r="FM6" s="15" t="s">
        <v>186</v>
      </c>
      <c r="FN6" s="12" t="s">
        <v>187</v>
      </c>
      <c r="FO6" s="12" t="s">
        <v>188</v>
      </c>
      <c r="FP6" s="12" t="s">
        <v>189</v>
      </c>
      <c r="FQ6" s="14" t="s">
        <v>176</v>
      </c>
      <c r="FR6" s="14" t="s">
        <v>178</v>
      </c>
      <c r="FS6" s="14" t="s">
        <v>170</v>
      </c>
      <c r="FT6" s="15" t="s">
        <v>168</v>
      </c>
      <c r="FU6" s="15" t="s">
        <v>185</v>
      </c>
      <c r="FV6" s="15" t="s">
        <v>186</v>
      </c>
      <c r="FW6" s="12" t="s">
        <v>187</v>
      </c>
      <c r="FX6" s="12" t="s">
        <v>188</v>
      </c>
      <c r="FY6" s="12" t="s">
        <v>189</v>
      </c>
      <c r="FZ6" s="14" t="s">
        <v>176</v>
      </c>
      <c r="GA6" s="14" t="s">
        <v>178</v>
      </c>
      <c r="GB6" s="14" t="s">
        <v>170</v>
      </c>
      <c r="GC6" s="15" t="s">
        <v>168</v>
      </c>
      <c r="GD6" s="15" t="s">
        <v>185</v>
      </c>
      <c r="GE6" s="15" t="s">
        <v>186</v>
      </c>
      <c r="GF6" s="12" t="s">
        <v>187</v>
      </c>
      <c r="GG6" s="12" t="s">
        <v>188</v>
      </c>
      <c r="GH6" s="12" t="s">
        <v>189</v>
      </c>
      <c r="GI6" s="477" t="s">
        <v>227</v>
      </c>
      <c r="GJ6" s="478"/>
      <c r="GK6" s="479"/>
      <c r="GL6" s="27">
        <f>GL8+GL9+GL14+GL19</f>
        <v>418</v>
      </c>
      <c r="GM6" s="5"/>
      <c r="GN6" s="58" t="s">
        <v>229</v>
      </c>
      <c r="GO6" s="58" t="s">
        <v>230</v>
      </c>
      <c r="GP6" s="59" t="s">
        <v>231</v>
      </c>
      <c r="GQ6" s="59" t="s">
        <v>232</v>
      </c>
      <c r="GR6" s="59" t="s">
        <v>233</v>
      </c>
      <c r="GS6" s="58" t="s">
        <v>234</v>
      </c>
      <c r="GT6" s="58" t="s">
        <v>235</v>
      </c>
      <c r="GU6" s="5"/>
    </row>
    <row r="7" spans="1:203" ht="14.25" customHeight="1" x14ac:dyDescent="0.3">
      <c r="A7" s="35" t="s">
        <v>236</v>
      </c>
      <c r="B7" s="36">
        <f>'ADMIN TIEMPOS'!$B$2</f>
        <v>5</v>
      </c>
      <c r="C7" s="36">
        <f>'ADMIN TIEMPOS'!$B$3</f>
        <v>10</v>
      </c>
      <c r="D7" s="36">
        <f>'ADMIN TIEMPOS'!$B$4</f>
        <v>15</v>
      </c>
      <c r="E7" s="36">
        <f>'ADMIN TIEMPOS'!$B$5</f>
        <v>30</v>
      </c>
      <c r="F7" s="36">
        <f>'ADMIN TIEMPOS'!$B$6</f>
        <v>45</v>
      </c>
      <c r="G7" s="36">
        <f>'ADMIN TIEMPOS'!$B$7</f>
        <v>60</v>
      </c>
      <c r="H7" s="36">
        <f>'ADMIN TIEMPOS'!$B$8</f>
        <v>90</v>
      </c>
      <c r="I7" s="36">
        <f>'ADMIN TIEMPOS'!$B$9</f>
        <v>120</v>
      </c>
      <c r="J7" s="36">
        <f>'ADMIN TIEMPOS'!$B$10</f>
        <v>180</v>
      </c>
      <c r="K7" s="36">
        <f>'ADMIN TIEMPOS'!$B$2</f>
        <v>5</v>
      </c>
      <c r="L7" s="36">
        <f>'ADMIN TIEMPOS'!$B$3</f>
        <v>10</v>
      </c>
      <c r="M7" s="36">
        <f>'ADMIN TIEMPOS'!$B$4</f>
        <v>15</v>
      </c>
      <c r="N7" s="36">
        <f>'ADMIN TIEMPOS'!$B$5</f>
        <v>30</v>
      </c>
      <c r="O7" s="36">
        <f>'ADMIN TIEMPOS'!$B$6</f>
        <v>45</v>
      </c>
      <c r="P7" s="36">
        <f>'ADMIN TIEMPOS'!$B$7</f>
        <v>60</v>
      </c>
      <c r="Q7" s="36">
        <f>'ADMIN TIEMPOS'!$B$8</f>
        <v>90</v>
      </c>
      <c r="R7" s="36">
        <f>'ADMIN TIEMPOS'!$B$9</f>
        <v>120</v>
      </c>
      <c r="S7" s="36">
        <f>'ADMIN TIEMPOS'!$B$10</f>
        <v>180</v>
      </c>
      <c r="T7" s="36">
        <f>'ADMIN TIEMPOS'!$B$2</f>
        <v>5</v>
      </c>
      <c r="U7" s="36">
        <f>'ADMIN TIEMPOS'!$B$3</f>
        <v>10</v>
      </c>
      <c r="V7" s="36">
        <f>'ADMIN TIEMPOS'!$B$4</f>
        <v>15</v>
      </c>
      <c r="W7" s="36">
        <f>'ADMIN TIEMPOS'!$B$5</f>
        <v>30</v>
      </c>
      <c r="X7" s="36">
        <f>'ADMIN TIEMPOS'!$B$6</f>
        <v>45</v>
      </c>
      <c r="Y7" s="36">
        <f>'ADMIN TIEMPOS'!$B$7</f>
        <v>60</v>
      </c>
      <c r="Z7" s="36">
        <f>'ADMIN TIEMPOS'!$B$8</f>
        <v>90</v>
      </c>
      <c r="AA7" s="36">
        <f>'ADMIN TIEMPOS'!$B$9</f>
        <v>120</v>
      </c>
      <c r="AB7" s="36">
        <f>'ADMIN TIEMPOS'!$B$10</f>
        <v>180</v>
      </c>
      <c r="AC7" s="36">
        <f>'ADMIN TIEMPOS'!$B$2</f>
        <v>5</v>
      </c>
      <c r="AD7" s="36">
        <f>'ADMIN TIEMPOS'!$B$3</f>
        <v>10</v>
      </c>
      <c r="AE7" s="36">
        <f>'ADMIN TIEMPOS'!$B$4</f>
        <v>15</v>
      </c>
      <c r="AF7" s="36">
        <f>'ADMIN TIEMPOS'!$B$5</f>
        <v>30</v>
      </c>
      <c r="AG7" s="36">
        <f>'ADMIN TIEMPOS'!$B$6</f>
        <v>45</v>
      </c>
      <c r="AH7" s="36">
        <f>'ADMIN TIEMPOS'!$B$7</f>
        <v>60</v>
      </c>
      <c r="AI7" s="36">
        <f>'ADMIN TIEMPOS'!$B$8</f>
        <v>90</v>
      </c>
      <c r="AJ7" s="36">
        <f>'ADMIN TIEMPOS'!$B$9</f>
        <v>120</v>
      </c>
      <c r="AK7" s="36">
        <f>'ADMIN TIEMPOS'!$B$10</f>
        <v>180</v>
      </c>
      <c r="AL7" s="36">
        <f>'ADMIN TIEMPOS'!$B$2</f>
        <v>5</v>
      </c>
      <c r="AM7" s="36">
        <f>'ADMIN TIEMPOS'!$B$3</f>
        <v>10</v>
      </c>
      <c r="AN7" s="36">
        <f>'ADMIN TIEMPOS'!$B$4</f>
        <v>15</v>
      </c>
      <c r="AO7" s="36">
        <f>'ADMIN TIEMPOS'!$B$5</f>
        <v>30</v>
      </c>
      <c r="AP7" s="36">
        <f>'ADMIN TIEMPOS'!$B$6</f>
        <v>45</v>
      </c>
      <c r="AQ7" s="36">
        <f>'ADMIN TIEMPOS'!$B$7</f>
        <v>60</v>
      </c>
      <c r="AR7" s="36">
        <f>'ADMIN TIEMPOS'!$B$8</f>
        <v>90</v>
      </c>
      <c r="AS7" s="36">
        <f>'ADMIN TIEMPOS'!$B$9</f>
        <v>120</v>
      </c>
      <c r="AT7" s="36">
        <f>'ADMIN TIEMPOS'!$B$10</f>
        <v>180</v>
      </c>
      <c r="AU7" s="36">
        <f>'ADMIN TIEMPOS'!$B$2</f>
        <v>5</v>
      </c>
      <c r="AV7" s="36">
        <f>'ADMIN TIEMPOS'!$B$3</f>
        <v>10</v>
      </c>
      <c r="AW7" s="36">
        <f>'ADMIN TIEMPOS'!$B$4</f>
        <v>15</v>
      </c>
      <c r="AX7" s="36">
        <f>'ADMIN TIEMPOS'!$B$5</f>
        <v>30</v>
      </c>
      <c r="AY7" s="36">
        <f>'ADMIN TIEMPOS'!$B$6</f>
        <v>45</v>
      </c>
      <c r="AZ7" s="36">
        <f>'ADMIN TIEMPOS'!$B$7</f>
        <v>60</v>
      </c>
      <c r="BA7" s="36">
        <f>'ADMIN TIEMPOS'!$B$8</f>
        <v>90</v>
      </c>
      <c r="BB7" s="36">
        <f>'ADMIN TIEMPOS'!$B$9</f>
        <v>120</v>
      </c>
      <c r="BC7" s="36">
        <f>'ADMIN TIEMPOS'!$B$10</f>
        <v>180</v>
      </c>
      <c r="BD7" s="36">
        <f>'ADMIN TIEMPOS'!$B$2</f>
        <v>5</v>
      </c>
      <c r="BE7" s="36">
        <f>'ADMIN TIEMPOS'!$B$3</f>
        <v>10</v>
      </c>
      <c r="BF7" s="36">
        <f>'ADMIN TIEMPOS'!$B$4</f>
        <v>15</v>
      </c>
      <c r="BG7" s="36">
        <f>'ADMIN TIEMPOS'!$B$5</f>
        <v>30</v>
      </c>
      <c r="BH7" s="36">
        <f>'ADMIN TIEMPOS'!$B$6</f>
        <v>45</v>
      </c>
      <c r="BI7" s="36">
        <f>'ADMIN TIEMPOS'!$B$7</f>
        <v>60</v>
      </c>
      <c r="BJ7" s="36">
        <f>'ADMIN TIEMPOS'!$B$8</f>
        <v>90</v>
      </c>
      <c r="BK7" s="36">
        <f>'ADMIN TIEMPOS'!$B$9</f>
        <v>120</v>
      </c>
      <c r="BL7" s="36">
        <f>'ADMIN TIEMPOS'!$B$10</f>
        <v>180</v>
      </c>
      <c r="BM7" s="36">
        <f>'ADMIN TIEMPOS'!$B$2</f>
        <v>5</v>
      </c>
      <c r="BN7" s="36">
        <f>'ADMIN TIEMPOS'!$B$3</f>
        <v>10</v>
      </c>
      <c r="BO7" s="36">
        <f>'ADMIN TIEMPOS'!$B$4</f>
        <v>15</v>
      </c>
      <c r="BP7" s="36">
        <f>'ADMIN TIEMPOS'!$B$5</f>
        <v>30</v>
      </c>
      <c r="BQ7" s="36">
        <f>'ADMIN TIEMPOS'!$B$6</f>
        <v>45</v>
      </c>
      <c r="BR7" s="36">
        <f>'ADMIN TIEMPOS'!$B$7</f>
        <v>60</v>
      </c>
      <c r="BS7" s="36">
        <f>'ADMIN TIEMPOS'!$B$8</f>
        <v>90</v>
      </c>
      <c r="BT7" s="36">
        <f>'ADMIN TIEMPOS'!$B$9</f>
        <v>120</v>
      </c>
      <c r="BU7" s="36">
        <f>'ADMIN TIEMPOS'!$B$10</f>
        <v>180</v>
      </c>
      <c r="BV7" s="36">
        <f>'ADMIN TIEMPOS'!$B$2</f>
        <v>5</v>
      </c>
      <c r="BW7" s="36">
        <f>'ADMIN TIEMPOS'!$B$3</f>
        <v>10</v>
      </c>
      <c r="BX7" s="36">
        <f>'ADMIN TIEMPOS'!$B$4</f>
        <v>15</v>
      </c>
      <c r="BY7" s="36">
        <f>'ADMIN TIEMPOS'!$B$5</f>
        <v>30</v>
      </c>
      <c r="BZ7" s="36">
        <f>'ADMIN TIEMPOS'!$B$6</f>
        <v>45</v>
      </c>
      <c r="CA7" s="36">
        <f>'ADMIN TIEMPOS'!$B$7</f>
        <v>60</v>
      </c>
      <c r="CB7" s="36">
        <f>'ADMIN TIEMPOS'!$B$8</f>
        <v>90</v>
      </c>
      <c r="CC7" s="36">
        <f>'ADMIN TIEMPOS'!$B$9</f>
        <v>120</v>
      </c>
      <c r="CD7" s="36">
        <f>'ADMIN TIEMPOS'!$B$10</f>
        <v>180</v>
      </c>
      <c r="CE7" s="36">
        <f>'ADMIN TIEMPOS'!$B$2</f>
        <v>5</v>
      </c>
      <c r="CF7" s="36">
        <f>'ADMIN TIEMPOS'!$B$3</f>
        <v>10</v>
      </c>
      <c r="CG7" s="36">
        <f>'ADMIN TIEMPOS'!$B$4</f>
        <v>15</v>
      </c>
      <c r="CH7" s="36">
        <f>'ADMIN TIEMPOS'!$B$5</f>
        <v>30</v>
      </c>
      <c r="CI7" s="36">
        <f>'ADMIN TIEMPOS'!$B$6</f>
        <v>45</v>
      </c>
      <c r="CJ7" s="36">
        <f>'ADMIN TIEMPOS'!$B$7</f>
        <v>60</v>
      </c>
      <c r="CK7" s="36">
        <f>'ADMIN TIEMPOS'!$B$8</f>
        <v>90</v>
      </c>
      <c r="CL7" s="36">
        <f>'ADMIN TIEMPOS'!$B$9</f>
        <v>120</v>
      </c>
      <c r="CM7" s="36">
        <f>'ADMIN TIEMPOS'!$B$10</f>
        <v>180</v>
      </c>
      <c r="CN7" s="36">
        <f>'ADMIN TIEMPOS'!$B$2</f>
        <v>5</v>
      </c>
      <c r="CO7" s="36">
        <f>'ADMIN TIEMPOS'!$B$3</f>
        <v>10</v>
      </c>
      <c r="CP7" s="36">
        <f>'ADMIN TIEMPOS'!$B$4</f>
        <v>15</v>
      </c>
      <c r="CQ7" s="36">
        <f>'ADMIN TIEMPOS'!$B$5</f>
        <v>30</v>
      </c>
      <c r="CR7" s="36">
        <f>'ADMIN TIEMPOS'!$B$6</f>
        <v>45</v>
      </c>
      <c r="CS7" s="36">
        <f>'ADMIN TIEMPOS'!$B$7</f>
        <v>60</v>
      </c>
      <c r="CT7" s="36">
        <f>'ADMIN TIEMPOS'!$B$8</f>
        <v>90</v>
      </c>
      <c r="CU7" s="36">
        <f>'ADMIN TIEMPOS'!$B$9</f>
        <v>120</v>
      </c>
      <c r="CV7" s="36">
        <f>'ADMIN TIEMPOS'!$B$10</f>
        <v>180</v>
      </c>
      <c r="CW7" s="36">
        <f>'ADMIN TIEMPOS'!$B$2</f>
        <v>5</v>
      </c>
      <c r="CX7" s="36">
        <f>'ADMIN TIEMPOS'!$B$3</f>
        <v>10</v>
      </c>
      <c r="CY7" s="36">
        <f>'ADMIN TIEMPOS'!$B$4</f>
        <v>15</v>
      </c>
      <c r="CZ7" s="36">
        <f>'ADMIN TIEMPOS'!$B$5</f>
        <v>30</v>
      </c>
      <c r="DA7" s="36">
        <f>'ADMIN TIEMPOS'!$B$6</f>
        <v>45</v>
      </c>
      <c r="DB7" s="36">
        <f>'ADMIN TIEMPOS'!$B$7</f>
        <v>60</v>
      </c>
      <c r="DC7" s="36">
        <f>'ADMIN TIEMPOS'!$B$8</f>
        <v>90</v>
      </c>
      <c r="DD7" s="36">
        <f>'ADMIN TIEMPOS'!$B$9</f>
        <v>120</v>
      </c>
      <c r="DE7" s="36">
        <f>'ADMIN TIEMPOS'!$B$10</f>
        <v>180</v>
      </c>
      <c r="DF7" s="36">
        <f>'ADMIN TIEMPOS'!$B$2</f>
        <v>5</v>
      </c>
      <c r="DG7" s="36">
        <f>'ADMIN TIEMPOS'!$B$3</f>
        <v>10</v>
      </c>
      <c r="DH7" s="36">
        <f>'ADMIN TIEMPOS'!$B$4</f>
        <v>15</v>
      </c>
      <c r="DI7" s="36">
        <f>'ADMIN TIEMPOS'!$B$5</f>
        <v>30</v>
      </c>
      <c r="DJ7" s="36">
        <f>'ADMIN TIEMPOS'!$B$6</f>
        <v>45</v>
      </c>
      <c r="DK7" s="36">
        <f>'ADMIN TIEMPOS'!$B$7</f>
        <v>60</v>
      </c>
      <c r="DL7" s="36">
        <f>'ADMIN TIEMPOS'!$B$8</f>
        <v>90</v>
      </c>
      <c r="DM7" s="36">
        <f>'ADMIN TIEMPOS'!$B$9</f>
        <v>120</v>
      </c>
      <c r="DN7" s="36">
        <f>'ADMIN TIEMPOS'!$B$10</f>
        <v>180</v>
      </c>
      <c r="DO7" s="36">
        <f>'ADMIN TIEMPOS'!$B$2</f>
        <v>5</v>
      </c>
      <c r="DP7" s="36">
        <f>'ADMIN TIEMPOS'!$B$3</f>
        <v>10</v>
      </c>
      <c r="DQ7" s="36">
        <f>'ADMIN TIEMPOS'!$B$4</f>
        <v>15</v>
      </c>
      <c r="DR7" s="36">
        <f>'ADMIN TIEMPOS'!$B$5</f>
        <v>30</v>
      </c>
      <c r="DS7" s="36">
        <f>'ADMIN TIEMPOS'!$B$6</f>
        <v>45</v>
      </c>
      <c r="DT7" s="36">
        <f>'ADMIN TIEMPOS'!$B$7</f>
        <v>60</v>
      </c>
      <c r="DU7" s="36">
        <f>'ADMIN TIEMPOS'!$B$8</f>
        <v>90</v>
      </c>
      <c r="DV7" s="36">
        <f>'ADMIN TIEMPOS'!$B$9</f>
        <v>120</v>
      </c>
      <c r="DW7" s="36">
        <f>'ADMIN TIEMPOS'!$B$10</f>
        <v>180</v>
      </c>
      <c r="DX7" s="36">
        <f>'ADMIN TIEMPOS'!$B$2</f>
        <v>5</v>
      </c>
      <c r="DY7" s="36">
        <f>'ADMIN TIEMPOS'!$B$3</f>
        <v>10</v>
      </c>
      <c r="DZ7" s="36">
        <f>'ADMIN TIEMPOS'!$B$4</f>
        <v>15</v>
      </c>
      <c r="EA7" s="36">
        <f>'ADMIN TIEMPOS'!$B$5</f>
        <v>30</v>
      </c>
      <c r="EB7" s="36">
        <f>'ADMIN TIEMPOS'!$B$6</f>
        <v>45</v>
      </c>
      <c r="EC7" s="36">
        <f>'ADMIN TIEMPOS'!$B$7</f>
        <v>60</v>
      </c>
      <c r="ED7" s="36">
        <f>'ADMIN TIEMPOS'!$B$8</f>
        <v>90</v>
      </c>
      <c r="EE7" s="36">
        <f>'ADMIN TIEMPOS'!$B$9</f>
        <v>120</v>
      </c>
      <c r="EF7" s="36">
        <f>'ADMIN TIEMPOS'!$B$10</f>
        <v>180</v>
      </c>
      <c r="EG7" s="36">
        <f>'ADMIN TIEMPOS'!$B$2</f>
        <v>5</v>
      </c>
      <c r="EH7" s="36">
        <f>'ADMIN TIEMPOS'!$B$3</f>
        <v>10</v>
      </c>
      <c r="EI7" s="36">
        <f>'ADMIN TIEMPOS'!$B$4</f>
        <v>15</v>
      </c>
      <c r="EJ7" s="36">
        <f>'ADMIN TIEMPOS'!$B$5</f>
        <v>30</v>
      </c>
      <c r="EK7" s="36">
        <f>'ADMIN TIEMPOS'!$B$6</f>
        <v>45</v>
      </c>
      <c r="EL7" s="36">
        <f>'ADMIN TIEMPOS'!$B$7</f>
        <v>60</v>
      </c>
      <c r="EM7" s="36">
        <f>'ADMIN TIEMPOS'!$B$8</f>
        <v>90</v>
      </c>
      <c r="EN7" s="36">
        <f>'ADMIN TIEMPOS'!$B$9</f>
        <v>120</v>
      </c>
      <c r="EO7" s="36">
        <f>'ADMIN TIEMPOS'!$B$10</f>
        <v>180</v>
      </c>
      <c r="EP7" s="36">
        <f>'ADMIN TIEMPOS'!$B$2</f>
        <v>5</v>
      </c>
      <c r="EQ7" s="36">
        <f>'ADMIN TIEMPOS'!$B$3</f>
        <v>10</v>
      </c>
      <c r="ER7" s="36">
        <f>'ADMIN TIEMPOS'!$B$4</f>
        <v>15</v>
      </c>
      <c r="ES7" s="36">
        <f>'ADMIN TIEMPOS'!$B$5</f>
        <v>30</v>
      </c>
      <c r="ET7" s="36">
        <f>'ADMIN TIEMPOS'!$B$6</f>
        <v>45</v>
      </c>
      <c r="EU7" s="36">
        <f>'ADMIN TIEMPOS'!$B$7</f>
        <v>60</v>
      </c>
      <c r="EV7" s="36">
        <f>'ADMIN TIEMPOS'!$B$8</f>
        <v>90</v>
      </c>
      <c r="EW7" s="36">
        <f>'ADMIN TIEMPOS'!$B$9</f>
        <v>120</v>
      </c>
      <c r="EX7" s="36">
        <f>'ADMIN TIEMPOS'!$B$10</f>
        <v>180</v>
      </c>
      <c r="EY7" s="36">
        <v>5</v>
      </c>
      <c r="EZ7" s="36">
        <v>10</v>
      </c>
      <c r="FA7" s="36">
        <v>15</v>
      </c>
      <c r="FB7" s="36">
        <v>30</v>
      </c>
      <c r="FC7" s="36">
        <v>45</v>
      </c>
      <c r="FD7" s="36">
        <v>60</v>
      </c>
      <c r="FE7" s="36">
        <v>90</v>
      </c>
      <c r="FF7" s="36">
        <v>120</v>
      </c>
      <c r="FG7" s="36">
        <v>180</v>
      </c>
      <c r="FH7" s="36">
        <f>'ADMIN TIEMPOS'!$B$2</f>
        <v>5</v>
      </c>
      <c r="FI7" s="36">
        <f>'ADMIN TIEMPOS'!$B$3</f>
        <v>10</v>
      </c>
      <c r="FJ7" s="36">
        <f>'ADMIN TIEMPOS'!$B$4</f>
        <v>15</v>
      </c>
      <c r="FK7" s="36">
        <f>'ADMIN TIEMPOS'!$B$5</f>
        <v>30</v>
      </c>
      <c r="FL7" s="36">
        <f>'ADMIN TIEMPOS'!$B$6</f>
        <v>45</v>
      </c>
      <c r="FM7" s="36">
        <f>'ADMIN TIEMPOS'!$B$7</f>
        <v>60</v>
      </c>
      <c r="FN7" s="36">
        <f>'ADMIN TIEMPOS'!$B$8</f>
        <v>90</v>
      </c>
      <c r="FO7" s="36">
        <f>'ADMIN TIEMPOS'!$B$9</f>
        <v>120</v>
      </c>
      <c r="FP7" s="36">
        <f>'ADMIN TIEMPOS'!$B$10</f>
        <v>180</v>
      </c>
      <c r="FQ7" s="36">
        <f>'ADMIN TIEMPOS'!$B$2</f>
        <v>5</v>
      </c>
      <c r="FR7" s="36">
        <f>'ADMIN TIEMPOS'!$B$3</f>
        <v>10</v>
      </c>
      <c r="FS7" s="36">
        <f>'ADMIN TIEMPOS'!$B$4</f>
        <v>15</v>
      </c>
      <c r="FT7" s="36">
        <f>'ADMIN TIEMPOS'!$B$5</f>
        <v>30</v>
      </c>
      <c r="FU7" s="36">
        <f>'ADMIN TIEMPOS'!$B$6</f>
        <v>45</v>
      </c>
      <c r="FV7" s="36">
        <f>'ADMIN TIEMPOS'!$B$7</f>
        <v>60</v>
      </c>
      <c r="FW7" s="36">
        <f>'ADMIN TIEMPOS'!$B$8</f>
        <v>90</v>
      </c>
      <c r="FX7" s="36">
        <f>'ADMIN TIEMPOS'!$B$9</f>
        <v>120</v>
      </c>
      <c r="FY7" s="36">
        <f>'ADMIN TIEMPOS'!$B$10</f>
        <v>180</v>
      </c>
      <c r="FZ7" s="36">
        <f>'ADMIN TIEMPOS'!$B$2</f>
        <v>5</v>
      </c>
      <c r="GA7" s="36">
        <f>'ADMIN TIEMPOS'!$B$3</f>
        <v>10</v>
      </c>
      <c r="GB7" s="36">
        <f>'ADMIN TIEMPOS'!$B$4</f>
        <v>15</v>
      </c>
      <c r="GC7" s="36">
        <f>'ADMIN TIEMPOS'!$B$5</f>
        <v>30</v>
      </c>
      <c r="GD7" s="36">
        <f>'ADMIN TIEMPOS'!$B$6</f>
        <v>45</v>
      </c>
      <c r="GE7" s="36">
        <f>'ADMIN TIEMPOS'!$B$7</f>
        <v>60</v>
      </c>
      <c r="GF7" s="36">
        <f>'ADMIN TIEMPOS'!$B$8</f>
        <v>90</v>
      </c>
      <c r="GG7" s="36">
        <f>'ADMIN TIEMPOS'!$B$9</f>
        <v>120</v>
      </c>
      <c r="GH7" s="36">
        <f>'ADMIN TIEMPOS'!$B$10</f>
        <v>180</v>
      </c>
      <c r="GI7" s="509">
        <v>0</v>
      </c>
      <c r="GJ7" s="510"/>
      <c r="GK7" s="511"/>
      <c r="GL7" s="52"/>
      <c r="GM7" s="5"/>
      <c r="GU7" s="5"/>
    </row>
    <row r="8" spans="1:203" ht="21.6" x14ac:dyDescent="0.3">
      <c r="A8" s="37" t="s">
        <v>237</v>
      </c>
      <c r="B8" s="38">
        <f>COUNTIFS('MATRIZ TRAZA'!D6:D1048576,'ESTANDAR HORAS'!A7,'MATRIZ TRAZA'!E6:E1048576,'ESTANDAR HORAS'!B16,'MATRIZ TRAZA'!G6:G1048576,'ESTANDAR HORAS'!C3,'MATRIZ TRAZA'!H6:H1048576,"NO")</f>
        <v>0</v>
      </c>
      <c r="C8" s="38">
        <f>COUNTIFS('MATRIZ TRAZA'!D6:D1048576,'ESTANDAR HORAS'!A7,'MATRIZ TRAZA'!E6:E1048576,'ESTANDAR HORAS'!B16,'MATRIZ TRAZA'!G6:G1048576,'ESTANDAR HORAS'!D3,'MATRIZ TRAZA'!H6:H1048576,"NO")</f>
        <v>0</v>
      </c>
      <c r="D8" s="38">
        <f>COUNTIFS('MATRIZ TRAZA'!D6:D1048576,'ESTANDAR HORAS'!A7,'MATRIZ TRAZA'!E6:E1048576,'ESTANDAR HORAS'!B16,'MATRIZ TRAZA'!G6:G1048576,'ESTANDAR HORAS'!E3,'MATRIZ TRAZA'!H6:H1048576,"NO")</f>
        <v>0</v>
      </c>
      <c r="E8" s="38">
        <f>COUNTIFS('MATRIZ TRAZA'!D6:D1048576,'ESTANDAR HORAS'!A7,'MATRIZ TRAZA'!E6:E1048576,'ESTANDAR HORAS'!B16,'MATRIZ TRAZA'!G6:G1048576,'ESTANDAR HORAS'!F3,'MATRIZ TRAZA'!H6:H1048576,"NO")</f>
        <v>0</v>
      </c>
      <c r="F8" s="38">
        <f>COUNTIFS('MATRIZ TRAZA'!D6:D1048576,'ESTANDAR HORAS'!A7,'MATRIZ TRAZA'!E6:E1048576,'ESTANDAR HORAS'!B16,'MATRIZ TRAZA'!G6:G1048576,'ESTANDAR HORAS'!G3,'MATRIZ TRAZA'!H6:H1048576,"NO")</f>
        <v>0</v>
      </c>
      <c r="G8" s="38">
        <f>COUNTIFS('MATRIZ TRAZA'!D6:D1048576,'ESTANDAR HORAS'!A7,'MATRIZ TRAZA'!E6:E1048576,'ESTANDAR HORAS'!B16,'MATRIZ TRAZA'!G6:G1048576,'ESTANDAR HORAS'!H3,'MATRIZ TRAZA'!H6:H1048576,"NO")</f>
        <v>0</v>
      </c>
      <c r="H8" s="38">
        <f>COUNTIFS('MATRIZ TRAZA'!D6:D1048576,'ESTANDAR HORAS'!A7,'MATRIZ TRAZA'!E6:E1048576,'ESTANDAR HORAS'!B16,'MATRIZ TRAZA'!G6:G1048576,'ESTANDAR HORAS'!I3,'MATRIZ TRAZA'!H6:H1048576,"NO")</f>
        <v>0</v>
      </c>
      <c r="I8" s="38">
        <f>COUNTIFS('MATRIZ TRAZA'!D6:D1048576,'ESTANDAR HORAS'!A7,'MATRIZ TRAZA'!E6:E1048576,'ESTANDAR HORAS'!B16,'MATRIZ TRAZA'!G6:G1048576,'ESTANDAR HORAS'!J3,'MATRIZ TRAZA'!H6:H1048576,"NO")</f>
        <v>0</v>
      </c>
      <c r="J8" s="38">
        <f>COUNTIFS('MATRIZ TRAZA'!D6:D1048576,'ESTANDAR HORAS'!A7,'MATRIZ TRAZA'!E6:E1048576,'ESTANDAR HORAS'!B16,'MATRIZ TRAZA'!G6:G1048576,'ESTANDAR HORAS'!K3,'MATRIZ TRAZA'!H6:H1048576,"NO")</f>
        <v>0</v>
      </c>
      <c r="K8" s="38">
        <f>COUNTIFS('MATRIZ TRAZA'!D6:D1048576,'ESTANDAR HORAS'!A7,'MATRIZ TRAZA'!E6:E1048576,'ESTANDAR HORAS'!B15,'MATRIZ TRAZA'!G6:G1048576,'ESTANDAR HORAS'!C3,'MATRIZ TRAZA'!H6:H1048576,"NO")</f>
        <v>0</v>
      </c>
      <c r="L8" s="38">
        <f>COUNTIFS('MATRIZ TRAZA'!D6:D1048576,'ESTANDAR HORAS'!A7,'MATRIZ TRAZA'!E6:E1048576,'ESTANDAR HORAS'!B15,'MATRIZ TRAZA'!G6:G1048576,'ESTANDAR HORAS'!D3,'MATRIZ TRAZA'!H6:H1048576,"NO")</f>
        <v>0</v>
      </c>
      <c r="M8" s="38">
        <f>COUNTIFS('MATRIZ TRAZA'!D6:D1048576,'ESTANDAR HORAS'!A7,'MATRIZ TRAZA'!E6:E1048576,'ESTANDAR HORAS'!B15,'MATRIZ TRAZA'!G6:G1048576,'ESTANDAR HORAS'!E3,'MATRIZ TRAZA'!H6:H1048576,"NO")</f>
        <v>0</v>
      </c>
      <c r="N8" s="38">
        <f>COUNTIFS('MATRIZ TRAZA'!D6:D1048576,'ESTANDAR HORAS'!A7,'MATRIZ TRAZA'!E6:E1048576,'ESTANDAR HORAS'!B15,'MATRIZ TRAZA'!G6:G1048576,'ESTANDAR HORAS'!F3,'MATRIZ TRAZA'!H6:H1048576,"NO")</f>
        <v>0</v>
      </c>
      <c r="O8" s="38">
        <f>COUNTIFS('MATRIZ TRAZA'!D6:D1048576,'ESTANDAR HORAS'!A7,'MATRIZ TRAZA'!E6:E1048576,'ESTANDAR HORAS'!B15,'MATRIZ TRAZA'!G6:G1048576,'ESTANDAR HORAS'!G3,'MATRIZ TRAZA'!H6:H1048576,"NO")</f>
        <v>0</v>
      </c>
      <c r="P8" s="38">
        <f>COUNTIFS('MATRIZ TRAZA'!D6:D1048576,'ESTANDAR HORAS'!A7,'MATRIZ TRAZA'!E6:E1048576,'ESTANDAR HORAS'!B15,'MATRIZ TRAZA'!G6:G1048576,'ESTANDAR HORAS'!H3,'MATRIZ TRAZA'!H6:H1048576,"NO")</f>
        <v>0</v>
      </c>
      <c r="Q8" s="38">
        <f>COUNTIFS('MATRIZ TRAZA'!D6:D1048576,'ESTANDAR HORAS'!A7,'MATRIZ TRAZA'!E6:E1048576,'ESTANDAR HORAS'!B15,'MATRIZ TRAZA'!G6:G1048576,'ESTANDAR HORAS'!I3,'MATRIZ TRAZA'!H6:H1048576,"NO")</f>
        <v>0</v>
      </c>
      <c r="R8" s="38">
        <f>COUNTIFS('MATRIZ TRAZA'!D6:D1048576,'ESTANDAR HORAS'!A7,'MATRIZ TRAZA'!E6:E1048576,'ESTANDAR HORAS'!B15,'MATRIZ TRAZA'!G6:G1048576,'ESTANDAR HORAS'!J3,'MATRIZ TRAZA'!H6:H1048576,"NO")</f>
        <v>0</v>
      </c>
      <c r="S8" s="38">
        <f>COUNTIFS('MATRIZ TRAZA'!D6:D1048576,'ESTANDAR HORAS'!A7,'MATRIZ TRAZA'!E6:E1048576,'ESTANDAR HORAS'!B15,'MATRIZ TRAZA'!G6:G1048576,'ESTANDAR HORAS'!K3,'MATRIZ TRAZA'!H6:H1048576,"NO")</f>
        <v>0</v>
      </c>
      <c r="T8" s="38">
        <f>COUNTIFS('MATRIZ TRAZA'!D6:D1048576,'ESTANDAR HORAS'!A7,'MATRIZ TRAZA'!E6:E1048576,'ESTANDAR HORAS'!B19,'MATRIZ TRAZA'!G6:G1048576,'ESTANDAR HORAS'!C3,'MATRIZ TRAZA'!H6:H1048576,"NO")</f>
        <v>0</v>
      </c>
      <c r="U8" s="38">
        <f>COUNTIFS('MATRIZ TRAZA'!D6:D1048576,'ESTANDAR HORAS'!A7,'MATRIZ TRAZA'!E6:E1048576,'ESTANDAR HORAS'!B19,'MATRIZ TRAZA'!G6:G1048576,'ESTANDAR HORAS'!D3,'MATRIZ TRAZA'!H6:H1048576,"NO")</f>
        <v>0</v>
      </c>
      <c r="V8" s="38">
        <f>COUNTIFS('MATRIZ TRAZA'!D6:D1048576,'ESTANDAR HORAS'!A7,'MATRIZ TRAZA'!E6:E1048576,'ESTANDAR HORAS'!B19,'MATRIZ TRAZA'!G6:G1048576,'ESTANDAR HORAS'!E3,'MATRIZ TRAZA'!H6:H1048576,"NO")</f>
        <v>0</v>
      </c>
      <c r="W8" s="38">
        <f>COUNTIFS('MATRIZ TRAZA'!D6:D1048576,'ESTANDAR HORAS'!A7,'MATRIZ TRAZA'!E6:E1048576,'ESTANDAR HORAS'!B19,'MATRIZ TRAZA'!G6:G1048576,'ESTANDAR HORAS'!F3,'MATRIZ TRAZA'!H6:H1048576,"NO")</f>
        <v>0</v>
      </c>
      <c r="X8" s="38">
        <f>COUNTIFS('MATRIZ TRAZA'!D6:D1048576,'ESTANDAR HORAS'!A7,'MATRIZ TRAZA'!E6:E1048576,'ESTANDAR HORAS'!B19,'MATRIZ TRAZA'!G6:G1048576,'ESTANDAR HORAS'!G3,'MATRIZ TRAZA'!H6:H1048576,"NO")</f>
        <v>0</v>
      </c>
      <c r="Y8" s="38">
        <f>COUNTIFS('MATRIZ TRAZA'!D6:D1048576,'ESTANDAR HORAS'!A7,'MATRIZ TRAZA'!E6:E1048576,'ESTANDAR HORAS'!B19,'MATRIZ TRAZA'!G6:G1048576,'ESTANDAR HORAS'!H3,'MATRIZ TRAZA'!H6:H1048576,"NO")</f>
        <v>0</v>
      </c>
      <c r="Z8" s="38">
        <f>COUNTIFS('MATRIZ TRAZA'!D6:D1048576,'ESTANDAR HORAS'!A7,'MATRIZ TRAZA'!E6:E1048576,'ESTANDAR HORAS'!B19,'MATRIZ TRAZA'!G6:G1048576,'ESTANDAR HORAS'!I3,'MATRIZ TRAZA'!H6:H1048576,"NO")</f>
        <v>0</v>
      </c>
      <c r="AA8" s="38">
        <f>COUNTIFS('MATRIZ TRAZA'!D6:D1048576,'ESTANDAR HORAS'!A7,'MATRIZ TRAZA'!E6:E1048576,'ESTANDAR HORAS'!B19,'MATRIZ TRAZA'!G6:G1048576,'ESTANDAR HORAS'!J3,'MATRIZ TRAZA'!H6:H1048576,"NO")</f>
        <v>0</v>
      </c>
      <c r="AB8" s="38">
        <f>COUNTIFS('MATRIZ TRAZA'!D6:D1048576,'ESTANDAR HORAS'!A7,'MATRIZ TRAZA'!E6:E1048576,'ESTANDAR HORAS'!B19,'MATRIZ TRAZA'!G6:G1048576,'ESTANDAR HORAS'!K3,'MATRIZ TRAZA'!H6:H1048576,"NO")</f>
        <v>0</v>
      </c>
      <c r="AC8" s="464"/>
      <c r="AD8" s="465"/>
      <c r="AE8" s="465"/>
      <c r="AF8" s="465"/>
      <c r="AG8" s="465"/>
      <c r="AH8" s="465"/>
      <c r="AI8" s="465"/>
      <c r="AJ8" s="465"/>
      <c r="AK8" s="466"/>
      <c r="AL8" s="464"/>
      <c r="AM8" s="465"/>
      <c r="AN8" s="465"/>
      <c r="AO8" s="465"/>
      <c r="AP8" s="465"/>
      <c r="AQ8" s="465"/>
      <c r="AR8" s="465"/>
      <c r="AS8" s="465"/>
      <c r="AT8" s="466"/>
      <c r="AU8" s="464"/>
      <c r="AV8" s="465"/>
      <c r="AW8" s="465"/>
      <c r="AX8" s="465"/>
      <c r="AY8" s="465"/>
      <c r="AZ8" s="465"/>
      <c r="BA8" s="465"/>
      <c r="BB8" s="465"/>
      <c r="BC8" s="466"/>
      <c r="BD8" s="38">
        <f>COUNTIFS('MATRIZ TRAZA'!D6:D1048576,'ESTANDAR HORAS'!A11,'MATRIZ TRAZA'!E6:E1048576,'ESTANDAR HORAS'!B28,'MATRIZ TRAZA'!G6:G1048576,'ESTANDAR HORAS'!C3)</f>
        <v>0</v>
      </c>
      <c r="BE8" s="38">
        <f>COUNTIFS('MATRIZ TRAZA'!D6:D1048576,'ESTANDAR HORAS'!A11,'MATRIZ TRAZA'!E6:E1048576,'ESTANDAR HORAS'!B28,'MATRIZ TRAZA'!G6:G1048576,'ESTANDAR HORAS'!D3)</f>
        <v>0</v>
      </c>
      <c r="BF8" s="38">
        <f>COUNTIFS('MATRIZ TRAZA'!D6:D1048576,'ESTANDAR HORAS'!A11,'MATRIZ TRAZA'!E6:E1048576,'ESTANDAR HORAS'!B28,'MATRIZ TRAZA'!G6:G1048576,'ESTANDAR HORAS'!E3)</f>
        <v>0</v>
      </c>
      <c r="BG8" s="38">
        <f>COUNTIFS('MATRIZ TRAZA'!D6:D1048576,'ESTANDAR HORAS'!A11,'MATRIZ TRAZA'!E6:E1048576,'ESTANDAR HORAS'!B28,'MATRIZ TRAZA'!G6:G1048576,'ESTANDAR HORAS'!F3)</f>
        <v>0</v>
      </c>
      <c r="BH8" s="38">
        <f>COUNTIFS('MATRIZ TRAZA'!D6:D1048576,'ESTANDAR HORAS'!A11,'MATRIZ TRAZA'!E6:E1048576,'ESTANDAR HORAS'!B28,'MATRIZ TRAZA'!G6:G1048576,'ESTANDAR HORAS'!G3)</f>
        <v>0</v>
      </c>
      <c r="BI8" s="38">
        <f>COUNTIFS('MATRIZ TRAZA'!D6:D1048576,'ESTANDAR HORAS'!A11,'MATRIZ TRAZA'!E6:E1048576,'ESTANDAR HORAS'!B28,'MATRIZ TRAZA'!G6:G1048576,'ESTANDAR HORAS'!H3)</f>
        <v>0</v>
      </c>
      <c r="BJ8" s="38">
        <f>COUNTIFS('MATRIZ TRAZA'!D6:D1048576,'ESTANDAR HORAS'!A11,'MATRIZ TRAZA'!E6:E1048576,'ESTANDAR HORAS'!B28,'MATRIZ TRAZA'!G6:G1048576,'ESTANDAR HORAS'!I3)</f>
        <v>0</v>
      </c>
      <c r="BK8" s="38">
        <f>COUNTIFS('MATRIZ TRAZA'!D6:D1048576,'ESTANDAR HORAS'!A11,'MATRIZ TRAZA'!E6:E1048576,'ESTANDAR HORAS'!B28,'MATRIZ TRAZA'!G6:G1048576,'ESTANDAR HORAS'!J3)</f>
        <v>0</v>
      </c>
      <c r="BL8" s="38">
        <f>COUNTIFS('MATRIZ TRAZA'!D6:D1048576,'ESTANDAR HORAS'!A11,'MATRIZ TRAZA'!E6:E1048576,'ESTANDAR HORAS'!B28,'MATRIZ TRAZA'!G6:G1048576,'ESTANDAR HORAS'!K3)</f>
        <v>0</v>
      </c>
      <c r="BM8" s="38">
        <f>COUNTIFS('MATRIZ TRAZA'!D6:D1048576,'ESTANDAR HORAS'!A7,'MATRIZ TRAZA'!E6:E1048576,'ESTANDAR HORAS'!B12,'MATRIZ TRAZA'!G6:G1048576,'ESTANDAR HORAS'!C3,'MATRIZ TRAZA'!H6:H1048576,"NO")</f>
        <v>0</v>
      </c>
      <c r="BN8" s="38">
        <f>COUNTIFS('MATRIZ TRAZA'!D6:D1048576,'ESTANDAR HORAS'!A7,'MATRIZ TRAZA'!E6:E1048576,'ESTANDAR HORAS'!B12,'MATRIZ TRAZA'!G6:G1048576,'ESTANDAR HORAS'!D3,'MATRIZ TRAZA'!H6:H1048576,"NO")</f>
        <v>0</v>
      </c>
      <c r="BO8" s="38">
        <f>COUNTIFS('MATRIZ TRAZA'!D6:D1048576,'ESTANDAR HORAS'!A7,'MATRIZ TRAZA'!E6:E1048576,'ESTANDAR HORAS'!B12,'MATRIZ TRAZA'!G6:G1048576,'ESTANDAR HORAS'!E3,'MATRIZ TRAZA'!H6:H1048576,"NO")</f>
        <v>0</v>
      </c>
      <c r="BP8" s="38">
        <f>COUNTIFS('MATRIZ TRAZA'!D6:D1048576,'ESTANDAR HORAS'!A7,'MATRIZ TRAZA'!E6:E1048576,'ESTANDAR HORAS'!B12,'MATRIZ TRAZA'!G6:G1048576,'ESTANDAR HORAS'!F3,'MATRIZ TRAZA'!H6:H1048576,"NO")</f>
        <v>0</v>
      </c>
      <c r="BQ8" s="38">
        <f>COUNTIFS('MATRIZ TRAZA'!D6:D1048576,'ESTANDAR HORAS'!A7,'MATRIZ TRAZA'!E6:E1048576,'ESTANDAR HORAS'!B12,'MATRIZ TRAZA'!G6:G1048576,'ESTANDAR HORAS'!G3,'MATRIZ TRAZA'!H6:H1048576,"NO")</f>
        <v>0</v>
      </c>
      <c r="BR8" s="38">
        <f>COUNTIFS('MATRIZ TRAZA'!D6:D1048576,'ESTANDAR HORAS'!A7,'MATRIZ TRAZA'!E6:E1048576,'ESTANDAR HORAS'!B12,'MATRIZ TRAZA'!G6:G1048576,'ESTANDAR HORAS'!H3,'MATRIZ TRAZA'!H6:H1048576,"NO")</f>
        <v>0</v>
      </c>
      <c r="BS8" s="38">
        <f>COUNTIFS('MATRIZ TRAZA'!D6:D1048576,'ESTANDAR HORAS'!A7,'MATRIZ TRAZA'!E6:E1048576,'ESTANDAR HORAS'!B12,'MATRIZ TRAZA'!G6:G1048576,'ESTANDAR HORAS'!I3,'MATRIZ TRAZA'!H6:H1048576,"NO")</f>
        <v>0</v>
      </c>
      <c r="BT8" s="38">
        <f>COUNTIFS('MATRIZ TRAZA'!D6:D1048576,'ESTANDAR HORAS'!A7,'MATRIZ TRAZA'!E6:E1048576,'ESTANDAR HORAS'!B12,'MATRIZ TRAZA'!G6:G1048576,'ESTANDAR HORAS'!J3,'MATRIZ TRAZA'!H6:H1048576,"NO")</f>
        <v>0</v>
      </c>
      <c r="BU8" s="38">
        <f>COUNTIFS('MATRIZ TRAZA'!D6:D1048576,'ESTANDAR HORAS'!A7,'MATRIZ TRAZA'!E6:E1048576,'ESTANDAR HORAS'!B12,'MATRIZ TRAZA'!G6:G1048576,'ESTANDAR HORAS'!K3,'MATRIZ TRAZA'!H6:H1048576,"NO")</f>
        <v>0</v>
      </c>
      <c r="BV8" s="38">
        <f>COUNTIFS('MATRIZ TRAZA'!D6:D1048576,'ESTANDAR HORAS'!A7,'MATRIZ TRAZA'!E6:E1048576,'ESTANDAR HORAS'!B17,'MATRIZ TRAZA'!G6:G1048576,'ESTANDAR HORAS'!C3,'MATRIZ TRAZA'!H6:H1048576,"NO")</f>
        <v>0</v>
      </c>
      <c r="BW8" s="38">
        <f>COUNTIFS('MATRIZ TRAZA'!D6:D1048576,'ESTANDAR HORAS'!A7,'MATRIZ TRAZA'!E6:E1048576,'ESTANDAR HORAS'!B17,'MATRIZ TRAZA'!G6:G1048576,'ESTANDAR HORAS'!D3,'MATRIZ TRAZA'!H6:H1048576,"NO")</f>
        <v>0</v>
      </c>
      <c r="BX8" s="38">
        <f>COUNTIFS('MATRIZ TRAZA'!D6:D1048576,'ESTANDAR HORAS'!A7,'MATRIZ TRAZA'!E6:E1048576,'ESTANDAR HORAS'!B17,'MATRIZ TRAZA'!G6:G1048576,'ESTANDAR HORAS'!E3,'MATRIZ TRAZA'!H6:H1048576,"NO")</f>
        <v>0</v>
      </c>
      <c r="BY8" s="38">
        <f>COUNTIFS('MATRIZ TRAZA'!D6:D1048576,'ESTANDAR HORAS'!A7,'MATRIZ TRAZA'!E6:E1048576,'ESTANDAR HORAS'!B17,'MATRIZ TRAZA'!G6:G1048576,'ESTANDAR HORAS'!F3,'MATRIZ TRAZA'!H6:H1048576,"NO")</f>
        <v>0</v>
      </c>
      <c r="BZ8" s="38">
        <f>COUNTIFS('MATRIZ TRAZA'!D6:D1048576,'ESTANDAR HORAS'!A7,'MATRIZ TRAZA'!E6:E1048576,'ESTANDAR HORAS'!B17,'MATRIZ TRAZA'!G6:G1048576,'ESTANDAR HORAS'!G3,'MATRIZ TRAZA'!H6:H1048576,"NO")</f>
        <v>0</v>
      </c>
      <c r="CA8" s="38">
        <f>COUNTIFS('MATRIZ TRAZA'!D6:D1048576,'ESTANDAR HORAS'!A7,'MATRIZ TRAZA'!E6:E1048576,'ESTANDAR HORAS'!B17,'MATRIZ TRAZA'!G6:G1048576,'ESTANDAR HORAS'!H3,'MATRIZ TRAZA'!H6:H1048576,"NO")</f>
        <v>0</v>
      </c>
      <c r="CB8" s="38">
        <f>COUNTIFS('MATRIZ TRAZA'!D6:D1048576,'ESTANDAR HORAS'!A7,'MATRIZ TRAZA'!E6:E1048576,'ESTANDAR HORAS'!B17,'MATRIZ TRAZA'!G6:G1048576,'ESTANDAR HORAS'!I3,'MATRIZ TRAZA'!H6:H1048576,"NO")</f>
        <v>0</v>
      </c>
      <c r="CC8" s="38">
        <f>COUNTIFS('MATRIZ TRAZA'!D6:D1048576,'ESTANDAR HORAS'!A7,'MATRIZ TRAZA'!E6:E1048576,'ESTANDAR HORAS'!B17,'MATRIZ TRAZA'!G6:G1048576,'ESTANDAR HORAS'!J3,'MATRIZ TRAZA'!H6:H1048576,"NO")</f>
        <v>0</v>
      </c>
      <c r="CD8" s="38">
        <f>COUNTIFS('MATRIZ TRAZA'!D6:D1048576,'ESTANDAR HORAS'!A7,'MATRIZ TRAZA'!E6:E1048576,'ESTANDAR HORAS'!B17,'MATRIZ TRAZA'!G6:G1048576,'ESTANDAR HORAS'!K3,'MATRIZ TRAZA'!H6:H1048576,"NO")</f>
        <v>0</v>
      </c>
      <c r="CE8" s="38">
        <f>COUNTIFS('MATRIZ TRAZA'!D6:D1048576,'ESTANDAR HORAS'!A7,'MATRIZ TRAZA'!E6:E1048576,'ESTANDAR HORAS'!B25,'MATRIZ TRAZA'!G6:G1048576,'ESTANDAR HORAS'!C3,'MATRIZ TRAZA'!H6:H1048576,"NO")</f>
        <v>0</v>
      </c>
      <c r="CF8" s="38">
        <f>COUNTIFS('MATRIZ TRAZA'!D6:D1048576,'ESTANDAR HORAS'!A7,'MATRIZ TRAZA'!E6:E1048576,'ESTANDAR HORAS'!B25,'MATRIZ TRAZA'!G6:G1048576,'ESTANDAR HORAS'!D3,'MATRIZ TRAZA'!H6:H1048576,"NO")</f>
        <v>0</v>
      </c>
      <c r="CG8" s="38">
        <f>COUNTIFS('MATRIZ TRAZA'!D6:D1048576,'ESTANDAR HORAS'!A7,'MATRIZ TRAZA'!E6:E1048576,'ESTANDAR HORAS'!B25,'MATRIZ TRAZA'!G6:G1048576,'ESTANDAR HORAS'!E3,'MATRIZ TRAZA'!H6:H1048576,"NO")</f>
        <v>0</v>
      </c>
      <c r="CH8" s="38">
        <f>COUNTIFS('MATRIZ TRAZA'!D6:D1048576,'ESTANDAR HORAS'!A7,'MATRIZ TRAZA'!E6:E1048576,'ESTANDAR HORAS'!B25,'MATRIZ TRAZA'!G6:G1048576,'ESTANDAR HORAS'!F3,'MATRIZ TRAZA'!H6:H1048576,"NO")</f>
        <v>0</v>
      </c>
      <c r="CI8" s="38">
        <f>COUNTIFS('MATRIZ TRAZA'!D6:D1048576,'ESTANDAR HORAS'!A7,'MATRIZ TRAZA'!E6:E1048576,'ESTANDAR HORAS'!B25,'MATRIZ TRAZA'!G6:G1048576,'ESTANDAR HORAS'!G3,'MATRIZ TRAZA'!H6:H1048576,"NO")</f>
        <v>0</v>
      </c>
      <c r="CJ8" s="38">
        <f>COUNTIFS('MATRIZ TRAZA'!D6:D1048576,'ESTANDAR HORAS'!A7,'MATRIZ TRAZA'!E6:E1048576,'ESTANDAR HORAS'!B25,'MATRIZ TRAZA'!G6:G1048576,'ESTANDAR HORAS'!H3,'MATRIZ TRAZA'!H6:H1048576,"NO")</f>
        <v>0</v>
      </c>
      <c r="CK8" s="38">
        <f>COUNTIFS('MATRIZ TRAZA'!D6:D1048576,'ESTANDAR HORAS'!A7,'MATRIZ TRAZA'!E6:E1048576,'ESTANDAR HORAS'!B25,'MATRIZ TRAZA'!G6:G1048576,'ESTANDAR HORAS'!I3,'MATRIZ TRAZA'!H6:H1048576,"NO")</f>
        <v>0</v>
      </c>
      <c r="CL8" s="38">
        <f>COUNTIFS('MATRIZ TRAZA'!D6:D1048576,'ESTANDAR HORAS'!A7,'MATRIZ TRAZA'!E6:E1048576,'ESTANDAR HORAS'!B25,'MATRIZ TRAZA'!G6:G1048576,'ESTANDAR HORAS'!J3,'MATRIZ TRAZA'!H6:H1048576,"NO")</f>
        <v>0</v>
      </c>
      <c r="CM8" s="38">
        <f>COUNTIFS('MATRIZ TRAZA'!D6:D1048576,'ESTANDAR HORAS'!A7,'MATRIZ TRAZA'!E6:E1048576,'ESTANDAR HORAS'!B25,'MATRIZ TRAZA'!G6:G1048576,'ESTANDAR HORAS'!K3,'MATRIZ TRAZA'!H6:H1048576,"NO")</f>
        <v>0</v>
      </c>
      <c r="CN8" s="449"/>
      <c r="CO8" s="450"/>
      <c r="CP8" s="450"/>
      <c r="CQ8" s="450"/>
      <c r="CR8" s="450"/>
      <c r="CS8" s="450"/>
      <c r="CT8" s="450"/>
      <c r="CU8" s="450"/>
      <c r="CV8" s="450"/>
      <c r="CW8" s="450"/>
      <c r="CX8" s="450"/>
      <c r="CY8" s="450"/>
      <c r="CZ8" s="450"/>
      <c r="DA8" s="450"/>
      <c r="DB8" s="450"/>
      <c r="DC8" s="450"/>
      <c r="DD8" s="450"/>
      <c r="DE8" s="451"/>
      <c r="DF8" s="38">
        <f>COUNTIFS('MATRIZ TRAZA'!D6:D1048576,'ESTANDAR HORAS'!A7,'MATRIZ TRAZA'!E6:E1048576,'ESTANDAR HORAS'!B11,'MATRIZ TRAZA'!G6:G1048576,'ESTANDAR HORAS'!C3,'MATRIZ TRAZA'!H6:H1048576,"NO")</f>
        <v>0</v>
      </c>
      <c r="DG8" s="38">
        <f>COUNTIFS('MATRIZ TRAZA'!D6:D1048576,'ESTANDAR HORAS'!A7,'MATRIZ TRAZA'!E6:E1048576,'ESTANDAR HORAS'!B11,'MATRIZ TRAZA'!G6:G1048576,'ESTANDAR HORAS'!D3,'MATRIZ TRAZA'!H6:H1048576,"NO")</f>
        <v>0</v>
      </c>
      <c r="DH8" s="38">
        <f>COUNTIFS('MATRIZ TRAZA'!D6:D1048576,'ESTANDAR HORAS'!A7,'MATRIZ TRAZA'!E6:E1048576,'ESTANDAR HORAS'!B11,'MATRIZ TRAZA'!G6:G1048576,'ESTANDAR HORAS'!E3,'MATRIZ TRAZA'!H6:H1048576,"NO")</f>
        <v>0</v>
      </c>
      <c r="DI8" s="38">
        <f>COUNTIFS('MATRIZ TRAZA'!D6:D1048576,'ESTANDAR HORAS'!A7,'MATRIZ TRAZA'!E6:E1048576,'ESTANDAR HORAS'!B11,'MATRIZ TRAZA'!G6:G1048576,'ESTANDAR HORAS'!F3,'MATRIZ TRAZA'!H6:H1048576,"NO")</f>
        <v>0</v>
      </c>
      <c r="DJ8" s="38">
        <f>COUNTIFS('MATRIZ TRAZA'!D6:D1048576,'ESTANDAR HORAS'!A7,'MATRIZ TRAZA'!E6:E1048576,'ESTANDAR HORAS'!B11,'MATRIZ TRAZA'!G6:G1048576,'ESTANDAR HORAS'!G3,'MATRIZ TRAZA'!H6:H1048576,"NO")</f>
        <v>0</v>
      </c>
      <c r="DK8" s="38">
        <f>COUNTIFS('MATRIZ TRAZA'!D6:D1048576,'ESTANDAR HORAS'!A7,'MATRIZ TRAZA'!E6:E1048576,'ESTANDAR HORAS'!B11,'MATRIZ TRAZA'!G6:G1048576,'ESTANDAR HORAS'!H3,'MATRIZ TRAZA'!H6:H1048576,"NO")</f>
        <v>0</v>
      </c>
      <c r="DL8" s="38">
        <f>COUNTIFS('MATRIZ TRAZA'!D6:D1048576,'ESTANDAR HORAS'!A7,'MATRIZ TRAZA'!E6:E1048576,'ESTANDAR HORAS'!B11,'MATRIZ TRAZA'!G6:G1048576,'ESTANDAR HORAS'!I3,'MATRIZ TRAZA'!H6:H1048576,"NO")</f>
        <v>0</v>
      </c>
      <c r="DM8" s="38">
        <f>COUNTIFS('MATRIZ TRAZA'!D6:D1048576,'ESTANDAR HORAS'!A7,'MATRIZ TRAZA'!E6:E1048576,'ESTANDAR HORAS'!B11,'MATRIZ TRAZA'!G6:G1048576,'ESTANDAR HORAS'!J3,'MATRIZ TRAZA'!H6:H1048576,"NO")</f>
        <v>0</v>
      </c>
      <c r="DN8" s="39">
        <f>COUNTIFS('MATRIZ TRAZA'!D6:D1048576,'ESTANDAR HORAS'!A7,'MATRIZ TRAZA'!E6:E1048576,'ESTANDAR HORAS'!B11,'MATRIZ TRAZA'!G6:G1048576,'ESTANDAR HORAS'!K3,'MATRIZ TRAZA'!H6:H1048576,"NO")</f>
        <v>0</v>
      </c>
      <c r="DO8" s="38">
        <f>COUNTIFS('MATRIZ TRAZA'!D6:D1048576,'ESTANDAR HORAS'!A7,'MATRIZ TRAZA'!E6:E1048576,'ESTANDAR HORAS'!B10,'MATRIZ TRAZA'!G6:G1048576,'ESTANDAR HORAS'!C3,'MATRIZ TRAZA'!H6:H1048576,"NO")</f>
        <v>0</v>
      </c>
      <c r="DP8" s="38">
        <f>COUNTIFS('MATRIZ TRAZA'!D6:D1048576,'ESTANDAR HORAS'!A7,'MATRIZ TRAZA'!E6:E1048576,'ESTANDAR HORAS'!B10,'MATRIZ TRAZA'!G6:G1048576,'ESTANDAR HORAS'!D3,'MATRIZ TRAZA'!H6:H1048576,"NO")</f>
        <v>0</v>
      </c>
      <c r="DQ8" s="38">
        <f>COUNTIFS('MATRIZ TRAZA'!D6:D1048576,'ESTANDAR HORAS'!A7,'MATRIZ TRAZA'!E6:E1048576,'ESTANDAR HORAS'!B10,'MATRIZ TRAZA'!G6:G1048576,'ESTANDAR HORAS'!E3,'MATRIZ TRAZA'!H6:H1048576,"NO")</f>
        <v>0</v>
      </c>
      <c r="DR8" s="38">
        <f>COUNTIFS('MATRIZ TRAZA'!D6:D1048576,'ESTANDAR HORAS'!A7,'MATRIZ TRAZA'!E6:E1048576,'ESTANDAR HORAS'!B10,'MATRIZ TRAZA'!G6:G1048576,'ESTANDAR HORAS'!F3,'MATRIZ TRAZA'!H6:H1048576,"NO")</f>
        <v>0</v>
      </c>
      <c r="DS8" s="38">
        <f>COUNTIFS('MATRIZ TRAZA'!D6:D1048576,'ESTANDAR HORAS'!A7,'MATRIZ TRAZA'!E6:E1048576,'ESTANDAR HORAS'!B10,'MATRIZ TRAZA'!G6:G1048576,'ESTANDAR HORAS'!G3,'MATRIZ TRAZA'!H6:H1048576,"NO")</f>
        <v>0</v>
      </c>
      <c r="DT8" s="38">
        <f>COUNTIFS('MATRIZ TRAZA'!D6:D1048576,'ESTANDAR HORAS'!A7,'MATRIZ TRAZA'!E6:E1048576,'ESTANDAR HORAS'!B10,'MATRIZ TRAZA'!G6:G1048576,'ESTANDAR HORAS'!H3,'MATRIZ TRAZA'!H6:H1048576,"NO")</f>
        <v>0</v>
      </c>
      <c r="DU8" s="38">
        <f>COUNTIFS('MATRIZ TRAZA'!D6:D1048576,'ESTANDAR HORAS'!A7,'MATRIZ TRAZA'!E6:E1048576,'ESTANDAR HORAS'!B10,'MATRIZ TRAZA'!G6:G1048576,'ESTANDAR HORAS'!I3,'MATRIZ TRAZA'!H6:H1048576,"NO")</f>
        <v>0</v>
      </c>
      <c r="DV8" s="38">
        <f>COUNTIFS('MATRIZ TRAZA'!D6:D1048576,'ESTANDAR HORAS'!A7,'MATRIZ TRAZA'!E6:E1048576,'ESTANDAR HORAS'!B10,'MATRIZ TRAZA'!G6:G1048576,'ESTANDAR HORAS'!J3,'MATRIZ TRAZA'!H6:H1048576,"NO")</f>
        <v>0</v>
      </c>
      <c r="DW8" s="39">
        <f>COUNTIFS('MATRIZ TRAZA'!D6:D1048576,'ESTANDAR HORAS'!A7,'MATRIZ TRAZA'!E6:E1048576,'ESTANDAR HORAS'!B10,'MATRIZ TRAZA'!G6:G1048576,'ESTANDAR HORAS'!K3,'MATRIZ TRAZA'!H6:H1048576,"NO")</f>
        <v>0</v>
      </c>
      <c r="DX8" s="449"/>
      <c r="DY8" s="450"/>
      <c r="DZ8" s="450"/>
      <c r="EA8" s="450"/>
      <c r="EB8" s="450"/>
      <c r="EC8" s="450"/>
      <c r="ED8" s="450"/>
      <c r="EE8" s="450"/>
      <c r="EF8" s="450"/>
      <c r="EG8" s="450"/>
      <c r="EH8" s="450"/>
      <c r="EI8" s="450"/>
      <c r="EJ8" s="450"/>
      <c r="EK8" s="450"/>
      <c r="EL8" s="450"/>
      <c r="EM8" s="450"/>
      <c r="EN8" s="450"/>
      <c r="EO8" s="450"/>
      <c r="EP8" s="450"/>
      <c r="EQ8" s="450"/>
      <c r="ER8" s="450"/>
      <c r="ES8" s="450"/>
      <c r="ET8" s="450"/>
      <c r="EU8" s="450"/>
      <c r="EV8" s="450"/>
      <c r="EW8" s="450"/>
      <c r="EX8" s="451"/>
      <c r="EY8" s="38">
        <f>COUNTIFS('MATRIZ TRAZA'!D6:D1048576,'ESTANDAR HORAS'!A7,'MATRIZ TRAZA'!E6:E1048576,'ESTANDAR HORAS'!B26,'MATRIZ TRAZA'!G6:G1048576,'ESTANDAR HORAS'!C3,'MATRIZ TRAZA'!H6:H1048576,'ESTANDAR HORAS'!A30)</f>
        <v>0</v>
      </c>
      <c r="EZ8" s="38">
        <f>COUNTIFS('MATRIZ TRAZA'!D6:D1048576,'ESTANDAR HORAS'!A7,'MATRIZ TRAZA'!E6:E1048576,'ESTANDAR HORAS'!B26,'MATRIZ TRAZA'!G6:G1048576,'ESTANDAR HORAS'!D3,'MATRIZ TRAZA'!H6:H1048576,'ESTANDAR HORAS'!A30)</f>
        <v>0</v>
      </c>
      <c r="FA8" s="38">
        <f>COUNTIFS('MATRIZ TRAZA'!D6:D1048576,'ESTANDAR HORAS'!A7,'MATRIZ TRAZA'!E6:E1048576,'ESTANDAR HORAS'!B26,'MATRIZ TRAZA'!G6:G1048576,'ESTANDAR HORAS'!E3,'MATRIZ TRAZA'!H6:H1048576,'ESTANDAR HORAS'!A30)</f>
        <v>0</v>
      </c>
      <c r="FB8" s="38">
        <f>COUNTIFS('MATRIZ TRAZA'!D6:D1048576,'ESTANDAR HORAS'!A7,'MATRIZ TRAZA'!E6:E1048576,'ESTANDAR HORAS'!B26,'MATRIZ TRAZA'!G6:G1048576,'ESTANDAR HORAS'!F3,'MATRIZ TRAZA'!H6:H1048576,'ESTANDAR HORAS'!A30)</f>
        <v>0</v>
      </c>
      <c r="FC8" s="38">
        <f>COUNTIFS('MATRIZ TRAZA'!D6:D1048576,'ESTANDAR HORAS'!A7,'MATRIZ TRAZA'!E6:E1048576,'ESTANDAR HORAS'!B26,'MATRIZ TRAZA'!G6:G1048576,'ESTANDAR HORAS'!G3,'MATRIZ TRAZA'!H6:H1048576,'ESTANDAR HORAS'!A30)</f>
        <v>0</v>
      </c>
      <c r="FD8" s="38">
        <f>COUNTIFS('MATRIZ TRAZA'!D6:D1048576,'ESTANDAR HORAS'!A7,'MATRIZ TRAZA'!E6:E1048576,'ESTANDAR HORAS'!B26,'MATRIZ TRAZA'!G6:G1048576,'ESTANDAR HORAS'!H3,'MATRIZ TRAZA'!H6:H1048576,'ESTANDAR HORAS'!A30)</f>
        <v>0</v>
      </c>
      <c r="FE8" s="38">
        <f>COUNTIFS('MATRIZ TRAZA'!D6:D1048576,'ESTANDAR HORAS'!A7,'MATRIZ TRAZA'!E6:E1048576,'ESTANDAR HORAS'!B26,'MATRIZ TRAZA'!G6:G1048576,'ESTANDAR HORAS'!I3,'MATRIZ TRAZA'!H6:H1048576,'ESTANDAR HORAS'!A30)</f>
        <v>0</v>
      </c>
      <c r="FF8" s="38">
        <f>COUNTIFS('MATRIZ TRAZA'!D6:D1048576,'ESTANDAR HORAS'!A7,'MATRIZ TRAZA'!E6:E1048576,'ESTANDAR HORAS'!B26,'MATRIZ TRAZA'!G6:G1048576,'ESTANDAR HORAS'!J3,'MATRIZ TRAZA'!H6:H1048576,'ESTANDAR HORAS'!A30)</f>
        <v>0</v>
      </c>
      <c r="FG8" s="39">
        <f>COUNTIFS('MATRIZ TRAZA'!D6:D1048576,'ESTANDAR HORAS'!A7,'MATRIZ TRAZA'!E6:E1048576,'ESTANDAR HORAS'!B26,'MATRIZ TRAZA'!G6:G1048576,'ESTANDAR HORAS'!K3,'MATRIZ TRAZA'!H6:H1048576,'ESTANDAR HORAS'!A30)</f>
        <v>0</v>
      </c>
      <c r="FH8" s="38">
        <f>COUNTIFS('MATRIZ TRAZA'!D6:D1048576,'ESTANDAR HORAS'!A7,'MATRIZ TRAZA'!E6:E1048576,'ESTANDAR HORAS'!B21,'MATRIZ TRAZA'!G6:G1048576,'ESTANDAR HORAS'!C3,'MATRIZ TRAZA'!H6:H1048576,"NO")</f>
        <v>0</v>
      </c>
      <c r="FI8" s="38">
        <f>COUNTIFS('MATRIZ TRAZA'!D6:D1048576,'ESTANDAR HORAS'!A7,'MATRIZ TRAZA'!E6:E1048576,'ESTANDAR HORAS'!B21,'MATRIZ TRAZA'!G6:G1048576,'ESTANDAR HORAS'!D3,'MATRIZ TRAZA'!H6:H1048576,"NO")</f>
        <v>0</v>
      </c>
      <c r="FJ8" s="38">
        <f>COUNTIFS('MATRIZ TRAZA'!D6:D1048576,'ESTANDAR HORAS'!A7,'MATRIZ TRAZA'!E6:E1048576,'ESTANDAR HORAS'!B21,'MATRIZ TRAZA'!G6:G1048576,'ESTANDAR HORAS'!E3,'MATRIZ TRAZA'!H6:H1048576,"NO")</f>
        <v>0</v>
      </c>
      <c r="FK8" s="38">
        <f>COUNTIFS('MATRIZ TRAZA'!D6:D1048576,'ESTANDAR HORAS'!A7,'MATRIZ TRAZA'!E6:E1048576,'ESTANDAR HORAS'!B21,'MATRIZ TRAZA'!G6:G1048576,'ESTANDAR HORAS'!F3,'MATRIZ TRAZA'!H6:H1048576,"NO")</f>
        <v>0</v>
      </c>
      <c r="FL8" s="38">
        <f>COUNTIFS('MATRIZ TRAZA'!D6:D1048576,'ESTANDAR HORAS'!A7,'MATRIZ TRAZA'!E6:E1048576,'ESTANDAR HORAS'!B21,'MATRIZ TRAZA'!G6:G1048576,'ESTANDAR HORAS'!G3,'MATRIZ TRAZA'!H6:H1048576,"NO")</f>
        <v>0</v>
      </c>
      <c r="FM8" s="38">
        <f>COUNTIFS('MATRIZ TRAZA'!D6:D1048576,'ESTANDAR HORAS'!A7,'MATRIZ TRAZA'!E6:E1048576,'ESTANDAR HORAS'!B21,'MATRIZ TRAZA'!G6:G1048576,'ESTANDAR HORAS'!H3,'MATRIZ TRAZA'!H6:H1048576,"NO")</f>
        <v>0</v>
      </c>
      <c r="FN8" s="38">
        <f>COUNTIFS('MATRIZ TRAZA'!D6:D1048576,'ESTANDAR HORAS'!A7,'MATRIZ TRAZA'!E6:E1048576,'ESTANDAR HORAS'!B21,'MATRIZ TRAZA'!G6:G1048576,'ESTANDAR HORAS'!I3,'MATRIZ TRAZA'!H6:H1048576,"NO")</f>
        <v>0</v>
      </c>
      <c r="FO8" s="38">
        <f>COUNTIFS('MATRIZ TRAZA'!D6:D1048576,'ESTANDAR HORAS'!A7,'MATRIZ TRAZA'!E6:E1048576,'ESTANDAR HORAS'!B21,'MATRIZ TRAZA'!G6:G1048576,'ESTANDAR HORAS'!J3,'MATRIZ TRAZA'!H6:H1048576,"NO")</f>
        <v>0</v>
      </c>
      <c r="FP8" s="39">
        <f>COUNTIFS('MATRIZ TRAZA'!D6:D1048576,'ESTANDAR HORAS'!A7,'MATRIZ TRAZA'!E6:E1048576,'ESTANDAR HORAS'!B21,'MATRIZ TRAZA'!G6:G1048576,'ESTANDAR HORAS'!K3,'MATRIZ TRAZA'!H6:H1048576,"NO")</f>
        <v>0</v>
      </c>
      <c r="FQ8" s="143"/>
      <c r="FR8" s="143"/>
      <c r="FS8" s="143"/>
      <c r="FT8" s="143"/>
      <c r="FU8" s="143"/>
      <c r="FV8" s="143"/>
      <c r="FW8" s="143"/>
      <c r="FX8" s="143"/>
      <c r="FY8" s="143"/>
      <c r="FZ8" s="143"/>
      <c r="GA8" s="143"/>
      <c r="GB8" s="143"/>
      <c r="GC8" s="143"/>
      <c r="GD8" s="143"/>
      <c r="GE8" s="143"/>
      <c r="GF8" s="143"/>
      <c r="GG8" s="143"/>
      <c r="GH8" s="143"/>
      <c r="GI8" s="512">
        <f>COUNTIFS('MATRIZ TRAZA'!D8:D1048576,'ESTANDAR HORAS'!A10,'MATRIZ TRAZA'!E8:E1048576,'ESTANDAR HORAS'!B20,'MATRIZ TRAZA'!G8:G1048576,'ESTANDAR HORAS'!L3,'MATRIZ TRAZA'!H8:H1048576,'ESTANDAR HORAS'!A31)</f>
        <v>0</v>
      </c>
      <c r="GJ8" s="512"/>
      <c r="GK8" s="513"/>
      <c r="GL8" s="40">
        <f>SUM(B8:GK8)</f>
        <v>0</v>
      </c>
      <c r="GM8" s="445">
        <f>SUM(GL8+GL9)</f>
        <v>0</v>
      </c>
      <c r="GN8" s="250">
        <f>$GL11*GN5%</f>
        <v>0</v>
      </c>
      <c r="GO8" s="250">
        <f>$GL11*GO5%</f>
        <v>0</v>
      </c>
      <c r="GP8" s="250">
        <f>($GL11+$GL12)*GP5%</f>
        <v>0</v>
      </c>
      <c r="GQ8" s="250">
        <f>IF('ESTIMACIÓN '!Q31="SI",($GL11+$GL12)*GQ5%,0)</f>
        <v>0</v>
      </c>
      <c r="GR8" s="250">
        <f>IF('ESTIMACIÓN '!Q32="SI",(GL11+$GL12)*GR5%,0)</f>
        <v>0</v>
      </c>
      <c r="GS8" s="250">
        <f>($GL11+$GL12)*GS5%</f>
        <v>0</v>
      </c>
      <c r="GT8" s="251">
        <f>SUM(GN8:GS9)</f>
        <v>0</v>
      </c>
      <c r="GU8" s="5"/>
    </row>
    <row r="9" spans="1:203" ht="21.6" x14ac:dyDescent="0.3">
      <c r="A9" s="37" t="s">
        <v>238</v>
      </c>
      <c r="B9" s="38">
        <f>COUNTIFS('MATRIZ TRAZA'!D6:D1048576,'ESTANDAR HORAS'!A9,'MATRIZ TRAZA'!E6:E1048576,'ESTANDAR HORAS'!B16,'MATRIZ TRAZA'!G6:G1048576,'ESTANDAR HORAS'!C3)</f>
        <v>0</v>
      </c>
      <c r="C9" s="38">
        <f>COUNTIFS('MATRIZ TRAZA'!D6:D1048576,'ESTANDAR HORAS'!A9,'MATRIZ TRAZA'!E6:E1048576,'ESTANDAR HORAS'!B16,'MATRIZ TRAZA'!G6:G1048576,'ESTANDAR HORAS'!D3)</f>
        <v>0</v>
      </c>
      <c r="D9" s="38">
        <f>COUNTIFS('MATRIZ TRAZA'!D6:D1048576,'ESTANDAR HORAS'!A9,'MATRIZ TRAZA'!E6:E1048576,'ESTANDAR HORAS'!B16,'MATRIZ TRAZA'!G6:G1048576,'ESTANDAR HORAS'!E3)</f>
        <v>0</v>
      </c>
      <c r="E9" s="38">
        <f>COUNTIFS('MATRIZ TRAZA'!D6:D1048576,'ESTANDAR HORAS'!A9,'MATRIZ TRAZA'!E6:E1048576,'ESTANDAR HORAS'!B16,'MATRIZ TRAZA'!G6:G1048576,'ESTANDAR HORAS'!F3)</f>
        <v>0</v>
      </c>
      <c r="F9" s="38">
        <f>COUNTIFS('MATRIZ TRAZA'!D6:D1048576,'ESTANDAR HORAS'!A9,'MATRIZ TRAZA'!E6:E1048576,'ESTANDAR HORAS'!B16,'MATRIZ TRAZA'!G6:G1048576,'ESTANDAR HORAS'!G3)</f>
        <v>0</v>
      </c>
      <c r="G9" s="38">
        <f>COUNTIFS('MATRIZ TRAZA'!D6:D1048576,'ESTANDAR HORAS'!A9,'MATRIZ TRAZA'!E6:E1048576,'ESTANDAR HORAS'!B16,'MATRIZ TRAZA'!G6:G1048576,'ESTANDAR HORAS'!H3)</f>
        <v>0</v>
      </c>
      <c r="H9" s="38">
        <f>COUNTIFS('MATRIZ TRAZA'!D6:D1048576,'ESTANDAR HORAS'!A9,'MATRIZ TRAZA'!E6:E1048576,'ESTANDAR HORAS'!B16,'MATRIZ TRAZA'!G6:G1048576,'ESTANDAR HORAS'!I3)</f>
        <v>0</v>
      </c>
      <c r="I9" s="38">
        <f>COUNTIFS('MATRIZ TRAZA'!D6:D1048576,'ESTANDAR HORAS'!A9,'MATRIZ TRAZA'!E6:E1048576,'ESTANDAR HORAS'!B16,'MATRIZ TRAZA'!G6:G1048576,'ESTANDAR HORAS'!J3)</f>
        <v>0</v>
      </c>
      <c r="J9" s="38">
        <f>COUNTIFS('MATRIZ TRAZA'!D6:D1048576,'ESTANDAR HORAS'!A9,'MATRIZ TRAZA'!E6:E1048576,'ESTANDAR HORAS'!B16,'MATRIZ TRAZA'!G6:G1048576,'ESTANDAR HORAS'!K3)</f>
        <v>0</v>
      </c>
      <c r="K9" s="38">
        <f>COUNTIFS('MATRIZ TRAZA'!D8:D1048576,'ESTANDAR HORAS'!A9,'MATRIZ TRAZA'!E8:E1048576,'ESTANDAR HORAS'!B15,'MATRIZ TRAZA'!G8:G1048576,'ESTANDAR HORAS'!C3)</f>
        <v>0</v>
      </c>
      <c r="L9" s="38">
        <f>COUNTIFS('MATRIZ TRAZA'!D8:D1048576,'ESTANDAR HORAS'!A9,'MATRIZ TRAZA'!E8:E1048576,'ESTANDAR HORAS'!B15,'MATRIZ TRAZA'!G8:G1048576,'ESTANDAR HORAS'!D3)</f>
        <v>0</v>
      </c>
      <c r="M9" s="38">
        <f>COUNTIFS('MATRIZ TRAZA'!D8:D1048576,'ESTANDAR HORAS'!A9,'MATRIZ TRAZA'!E8:E1048576,'ESTANDAR HORAS'!B15,'MATRIZ TRAZA'!G8:G1048576,'ESTANDAR HORAS'!E3)</f>
        <v>0</v>
      </c>
      <c r="N9" s="38">
        <f>COUNTIFS('MATRIZ TRAZA'!D8:D1048576,'ESTANDAR HORAS'!A9,'MATRIZ TRAZA'!E8:E1048576,'ESTANDAR HORAS'!B15,'MATRIZ TRAZA'!G8:G1048576,'ESTANDAR HORAS'!F3)</f>
        <v>0</v>
      </c>
      <c r="O9" s="38">
        <f>COUNTIFS('MATRIZ TRAZA'!D8:D1048576,'ESTANDAR HORAS'!A9,'MATRIZ TRAZA'!E8:E1048576,'ESTANDAR HORAS'!B15,'MATRIZ TRAZA'!G8:G1048576,'ESTANDAR HORAS'!G3)</f>
        <v>0</v>
      </c>
      <c r="P9" s="38">
        <f>COUNTIFS('MATRIZ TRAZA'!D8:D1048576,'ESTANDAR HORAS'!A9,'MATRIZ TRAZA'!E8:E1048576,'ESTANDAR HORAS'!B15,'MATRIZ TRAZA'!G8:G1048576,'ESTANDAR HORAS'!H3)</f>
        <v>0</v>
      </c>
      <c r="Q9" s="38">
        <f>COUNTIFS('MATRIZ TRAZA'!D8:D1048576,'ESTANDAR HORAS'!A9,'MATRIZ TRAZA'!E8:E1048576,'ESTANDAR HORAS'!B15,'MATRIZ TRAZA'!G8:G1048576,'ESTANDAR HORAS'!I3)</f>
        <v>0</v>
      </c>
      <c r="R9" s="38">
        <f>COUNTIFS('MATRIZ TRAZA'!D8:D1048576,'ESTANDAR HORAS'!A9,'MATRIZ TRAZA'!E8:E1048576,'ESTANDAR HORAS'!B15,'MATRIZ TRAZA'!G8:G1048576,'ESTANDAR HORAS'!J3)</f>
        <v>0</v>
      </c>
      <c r="S9" s="38">
        <f>COUNTIFS('MATRIZ TRAZA'!D8:D1048576,'ESTANDAR HORAS'!A9,'MATRIZ TRAZA'!E8:E1048576,'ESTANDAR HORAS'!B15,'MATRIZ TRAZA'!G8:G1048576,'ESTANDAR HORAS'!K3)</f>
        <v>0</v>
      </c>
      <c r="T9" s="38">
        <f>COUNTIFS('MATRIZ TRAZA'!D6:D1048576,'ESTANDAR HORAS'!A9,'MATRIZ TRAZA'!E6:E1048576,'ESTANDAR HORAS'!B19,'MATRIZ TRAZA'!G6:G1048576,'ESTANDAR HORAS'!C3)</f>
        <v>0</v>
      </c>
      <c r="U9" s="38">
        <f>COUNTIFS('MATRIZ TRAZA'!D6:D1048576,'ESTANDAR HORAS'!A9,'MATRIZ TRAZA'!E6:E1048576,'ESTANDAR HORAS'!B19,'MATRIZ TRAZA'!G6:G1048576,'ESTANDAR HORAS'!D3)</f>
        <v>0</v>
      </c>
      <c r="V9" s="38">
        <f>COUNTIFS('MATRIZ TRAZA'!D6:D1048576,'ESTANDAR HORAS'!A9,'MATRIZ TRAZA'!E6:E1048576,'ESTANDAR HORAS'!B19,'MATRIZ TRAZA'!G6:G1048576,'ESTANDAR HORAS'!E3)</f>
        <v>0</v>
      </c>
      <c r="W9" s="38">
        <f>COUNTIFS('MATRIZ TRAZA'!D6:D1048576,'ESTANDAR HORAS'!A9,'MATRIZ TRAZA'!E6:E1048576,'ESTANDAR HORAS'!B19,'MATRIZ TRAZA'!G6:G1048576,'ESTANDAR HORAS'!F3)</f>
        <v>0</v>
      </c>
      <c r="X9" s="38">
        <f>COUNTIFS('MATRIZ TRAZA'!D6:D1048576,'ESTANDAR HORAS'!A9,'MATRIZ TRAZA'!E6:E1048576,'ESTANDAR HORAS'!B19,'MATRIZ TRAZA'!G6:G1048576,'ESTANDAR HORAS'!G3)</f>
        <v>0</v>
      </c>
      <c r="Y9" s="38">
        <f>COUNTIFS('MATRIZ TRAZA'!D6:D1048576,'ESTANDAR HORAS'!A9,'MATRIZ TRAZA'!E6:E1048576,'ESTANDAR HORAS'!B19,'MATRIZ TRAZA'!G6:G1048576,'ESTANDAR HORAS'!H3)</f>
        <v>0</v>
      </c>
      <c r="Z9" s="38">
        <f>COUNTIFS('MATRIZ TRAZA'!D6:D1048576,'ESTANDAR HORAS'!A9,'MATRIZ TRAZA'!E6:E1048576,'ESTANDAR HORAS'!B19,'MATRIZ TRAZA'!G6:G1048576,'ESTANDAR HORAS'!I3)</f>
        <v>0</v>
      </c>
      <c r="AA9" s="38">
        <f>COUNTIFS('MATRIZ TRAZA'!D6:D1048576,'ESTANDAR HORAS'!A9,'MATRIZ TRAZA'!E6:E1048576,'ESTANDAR HORAS'!B19,'MATRIZ TRAZA'!G6:G1048576,'ESTANDAR HORAS'!J3)</f>
        <v>0</v>
      </c>
      <c r="AB9" s="38">
        <f>COUNTIFS('MATRIZ TRAZA'!D6:D1048576,'ESTANDAR HORAS'!A9,'MATRIZ TRAZA'!E6:E1048576,'ESTANDAR HORAS'!B19,'MATRIZ TRAZA'!G6:G1048576,'ESTANDAR HORAS'!K3)</f>
        <v>0</v>
      </c>
      <c r="AC9" s="467"/>
      <c r="AD9" s="468"/>
      <c r="AE9" s="468"/>
      <c r="AF9" s="468"/>
      <c r="AG9" s="468"/>
      <c r="AH9" s="468"/>
      <c r="AI9" s="468"/>
      <c r="AJ9" s="468"/>
      <c r="AK9" s="469"/>
      <c r="AL9" s="467"/>
      <c r="AM9" s="468"/>
      <c r="AN9" s="468"/>
      <c r="AO9" s="468"/>
      <c r="AP9" s="468"/>
      <c r="AQ9" s="468"/>
      <c r="AR9" s="468"/>
      <c r="AS9" s="468"/>
      <c r="AT9" s="469"/>
      <c r="AU9" s="467"/>
      <c r="AV9" s="468"/>
      <c r="AW9" s="468"/>
      <c r="AX9" s="468"/>
      <c r="AY9" s="468"/>
      <c r="AZ9" s="468"/>
      <c r="BA9" s="468"/>
      <c r="BB9" s="468"/>
      <c r="BC9" s="469"/>
      <c r="BD9" s="461"/>
      <c r="BE9" s="462"/>
      <c r="BF9" s="462"/>
      <c r="BG9" s="462"/>
      <c r="BH9" s="462"/>
      <c r="BI9" s="462"/>
      <c r="BJ9" s="462"/>
      <c r="BK9" s="462"/>
      <c r="BL9" s="463"/>
      <c r="BM9" s="38">
        <f>COUNTIFS('MATRIZ TRAZA'!D8:D1048576,'ESTANDAR HORAS'!A9,'MATRIZ TRAZA'!E8:E1048576,'ESTANDAR HORAS'!B12,'MATRIZ TRAZA'!G8:G1048576,'ESTANDAR HORAS'!C3)</f>
        <v>0</v>
      </c>
      <c r="BN9" s="38">
        <f>COUNTIFS('MATRIZ TRAZA'!D8:D1048576,'ESTANDAR HORAS'!A9,'MATRIZ TRAZA'!E8:E1048576,'ESTANDAR HORAS'!B12,'MATRIZ TRAZA'!G8:G1048576,'ESTANDAR HORAS'!D3)</f>
        <v>0</v>
      </c>
      <c r="BO9" s="38">
        <f>COUNTIFS('MATRIZ TRAZA'!D8:D1048576,'ESTANDAR HORAS'!A9,'MATRIZ TRAZA'!E8:E1048576,'ESTANDAR HORAS'!B12,'MATRIZ TRAZA'!G8:G1048576,'ESTANDAR HORAS'!E3)</f>
        <v>0</v>
      </c>
      <c r="BP9" s="38">
        <f>COUNTIFS('MATRIZ TRAZA'!D8:D1048576,'ESTANDAR HORAS'!A9,'MATRIZ TRAZA'!E8:E1048576,'ESTANDAR HORAS'!B12,'MATRIZ TRAZA'!G8:G1048576,'ESTANDAR HORAS'!F3,'MATRIZ TRAZA'!H8:H1048576,'ESTANDAR HORAS'!A30)</f>
        <v>0</v>
      </c>
      <c r="BQ9" s="38">
        <f>COUNTIFS('MATRIZ TRAZA'!D8:D1048576,'ESTANDAR HORAS'!A9,'MATRIZ TRAZA'!E8:E1048576,'ESTANDAR HORAS'!B12,'MATRIZ TRAZA'!G8:G1048576,'ESTANDAR HORAS'!G3,'MATRIZ TRAZA'!H8:H1048576,'ESTANDAR HORAS'!A30)</f>
        <v>0</v>
      </c>
      <c r="BR9" s="38">
        <f>COUNTIFS('MATRIZ TRAZA'!D8:D1048576,'ESTANDAR HORAS'!A9,'MATRIZ TRAZA'!E8:E1048576,'ESTANDAR HORAS'!B12,'MATRIZ TRAZA'!G8:G1048576,'ESTANDAR HORAS'!H3,'MATRIZ TRAZA'!H8:H1048576,'ESTANDAR HORAS'!A30)</f>
        <v>0</v>
      </c>
      <c r="BS9" s="38">
        <f>COUNTIFS('MATRIZ TRAZA'!D8:D1048576,'ESTANDAR HORAS'!A9,'MATRIZ TRAZA'!E8:E1048576,'ESTANDAR HORAS'!B12,'MATRIZ TRAZA'!G8:G1048576,'ESTANDAR HORAS'!I3,'MATRIZ TRAZA'!H8:H1048576,'ESTANDAR HORAS'!A30)</f>
        <v>0</v>
      </c>
      <c r="BT9" s="38">
        <f>COUNTIFS('MATRIZ TRAZA'!D8:D1048576,'ESTANDAR HORAS'!A9,'MATRIZ TRAZA'!E8:E1048576,'ESTANDAR HORAS'!B12,'MATRIZ TRAZA'!G8:G1048576,'ESTANDAR HORAS'!J3,'MATRIZ TRAZA'!H8:H1048576,'ESTANDAR HORAS'!A30)</f>
        <v>0</v>
      </c>
      <c r="BU9" s="38">
        <f>COUNTIFS('MATRIZ TRAZA'!D8:D1048576,'ESTANDAR HORAS'!A9,'MATRIZ TRAZA'!E8:E1048576,'ESTANDAR HORAS'!B12,'MATRIZ TRAZA'!G8:G1048576,'ESTANDAR HORAS'!K3,'MATRIZ TRAZA'!H8:H1048576,'ESTANDAR HORAS'!A30)</f>
        <v>0</v>
      </c>
      <c r="BV9" s="314"/>
      <c r="BW9" s="315"/>
      <c r="BX9" s="315"/>
      <c r="BY9" s="315"/>
      <c r="BZ9" s="315"/>
      <c r="CA9" s="315"/>
      <c r="CB9" s="315"/>
      <c r="CC9" s="315"/>
      <c r="CD9" s="316"/>
      <c r="CE9" s="461"/>
      <c r="CF9" s="462"/>
      <c r="CG9" s="462"/>
      <c r="CH9" s="462"/>
      <c r="CI9" s="462"/>
      <c r="CJ9" s="462"/>
      <c r="CK9" s="462"/>
      <c r="CL9" s="462"/>
      <c r="CM9" s="463"/>
      <c r="CN9" s="449"/>
      <c r="CO9" s="450"/>
      <c r="CP9" s="450"/>
      <c r="CQ9" s="450"/>
      <c r="CR9" s="450"/>
      <c r="CS9" s="450"/>
      <c r="CT9" s="450"/>
      <c r="CU9" s="450"/>
      <c r="CV9" s="450"/>
      <c r="CW9" s="450"/>
      <c r="CX9" s="450"/>
      <c r="CY9" s="450"/>
      <c r="CZ9" s="450"/>
      <c r="DA9" s="450"/>
      <c r="DB9" s="450"/>
      <c r="DC9" s="450"/>
      <c r="DD9" s="450"/>
      <c r="DE9" s="451"/>
      <c r="DF9" s="461"/>
      <c r="DG9" s="462"/>
      <c r="DH9" s="462"/>
      <c r="DI9" s="462"/>
      <c r="DJ9" s="462"/>
      <c r="DK9" s="462"/>
      <c r="DL9" s="462"/>
      <c r="DM9" s="462"/>
      <c r="DN9" s="463"/>
      <c r="DO9" s="39">
        <f>COUNTIFS('MATRIZ TRAZA'!D6:D1048576,'ESTANDAR HORAS'!A9,'MATRIZ TRAZA'!E6:E1048576,'ESTANDAR HORAS'!B10,'MATRIZ TRAZA'!G6:G1048576,'ESTANDAR HORAS'!C3)</f>
        <v>0</v>
      </c>
      <c r="DP9" s="39">
        <f>COUNTIFS('MATRIZ TRAZA'!D6:D1048576,'ESTANDAR HORAS'!A9,'MATRIZ TRAZA'!E6:E1048576,'ESTANDAR HORAS'!B10,'MATRIZ TRAZA'!G6:G1048576,'ESTANDAR HORAS'!D3)</f>
        <v>0</v>
      </c>
      <c r="DQ9" s="39">
        <f>COUNTIFS('MATRIZ TRAZA'!D6:D1048576,'ESTANDAR HORAS'!A9,'MATRIZ TRAZA'!E6:E1048576,'ESTANDAR HORAS'!B10,'MATRIZ TRAZA'!G6:G1048576,'ESTANDAR HORAS'!E3)</f>
        <v>0</v>
      </c>
      <c r="DR9" s="39">
        <f>COUNTIFS('MATRIZ TRAZA'!D6:D1048576,'ESTANDAR HORAS'!A9,'MATRIZ TRAZA'!E6:E1048576,'ESTANDAR HORAS'!B10,'MATRIZ TRAZA'!G6:G1048576,'ESTANDAR HORAS'!F3)</f>
        <v>0</v>
      </c>
      <c r="DS9" s="39">
        <f>COUNTIFS('MATRIZ TRAZA'!D6:D1048576,'ESTANDAR HORAS'!A9,'MATRIZ TRAZA'!E6:E1048576,'ESTANDAR HORAS'!B10,'MATRIZ TRAZA'!G6:G1048576,'ESTANDAR HORAS'!G3)</f>
        <v>0</v>
      </c>
      <c r="DT9" s="39">
        <f>COUNTIFS('MATRIZ TRAZA'!D6:D1048576,'ESTANDAR HORAS'!A9,'MATRIZ TRAZA'!E6:E1048576,'ESTANDAR HORAS'!B10,'MATRIZ TRAZA'!G6:G1048576,'ESTANDAR HORAS'!H3)</f>
        <v>0</v>
      </c>
      <c r="DU9" s="39">
        <f>COUNTIFS('MATRIZ TRAZA'!D6:D1048576,'ESTANDAR HORAS'!A9,'MATRIZ TRAZA'!E6:E1048576,'ESTANDAR HORAS'!B10,'MATRIZ TRAZA'!G6:G1048576,'ESTANDAR HORAS'!I3)</f>
        <v>0</v>
      </c>
      <c r="DV9" s="39">
        <f>COUNTIFS('MATRIZ TRAZA'!D6:D1048576,'ESTANDAR HORAS'!A9,'MATRIZ TRAZA'!E6:E1048576,'ESTANDAR HORAS'!B10,'MATRIZ TRAZA'!G6:G1048576,'ESTANDAR HORAS'!J3)</f>
        <v>0</v>
      </c>
      <c r="DW9" s="39">
        <f>COUNTIFS('MATRIZ TRAZA'!D6:D1048576,'ESTANDAR HORAS'!A9,'MATRIZ TRAZA'!E6:E1048576,'ESTANDAR HORAS'!B10,'MATRIZ TRAZA'!G6:G1048576,'ESTANDAR HORAS'!K3)</f>
        <v>0</v>
      </c>
      <c r="DX9" s="449"/>
      <c r="DY9" s="450"/>
      <c r="DZ9" s="450"/>
      <c r="EA9" s="450"/>
      <c r="EB9" s="450"/>
      <c r="EC9" s="450"/>
      <c r="ED9" s="450"/>
      <c r="EE9" s="450"/>
      <c r="EF9" s="450"/>
      <c r="EG9" s="450"/>
      <c r="EH9" s="450"/>
      <c r="EI9" s="450"/>
      <c r="EJ9" s="450"/>
      <c r="EK9" s="450"/>
      <c r="EL9" s="450"/>
      <c r="EM9" s="450"/>
      <c r="EN9" s="450"/>
      <c r="EO9" s="450"/>
      <c r="EP9" s="450"/>
      <c r="EQ9" s="450"/>
      <c r="ER9" s="450"/>
      <c r="ES9" s="450"/>
      <c r="ET9" s="450"/>
      <c r="EU9" s="450"/>
      <c r="EV9" s="450"/>
      <c r="EW9" s="450"/>
      <c r="EX9" s="451"/>
      <c r="EY9" s="169">
        <f>COUNTIFS('MATRIZ TRAZA'!D8:D1048576,'ESTANDAR HORAS'!A9,'MATRIZ TRAZA'!E8:E1048576,'ESTANDAR HORAS'!B26,'MATRIZ TRAZA'!G8:G1048576,'ESTANDAR HORAS'!C3)</f>
        <v>0</v>
      </c>
      <c r="EZ9" s="169">
        <f>COUNTIFS('MATRIZ TRAZA'!D8:D1048576,'ESTANDAR HORAS'!A9,'MATRIZ TRAZA'!E8:E1048576,'ESTANDAR HORAS'!B26,'MATRIZ TRAZA'!G8:G1048576,'ESTANDAR HORAS'!D3)</f>
        <v>0</v>
      </c>
      <c r="FA9" s="169">
        <f>COUNTIFS('MATRIZ TRAZA'!D8:D1048576,'ESTANDAR HORAS'!A9,'MATRIZ TRAZA'!E8:E1048576,'ESTANDAR HORAS'!B26,'MATRIZ TRAZA'!G8:G1048576,'ESTANDAR HORAS'!E3)</f>
        <v>0</v>
      </c>
      <c r="FB9" s="169">
        <f>COUNTIFS('MATRIZ TRAZA'!D8:D1048576,'ESTANDAR HORAS'!A9,'MATRIZ TRAZA'!E8:E1048576,'ESTANDAR HORAS'!B26,'MATRIZ TRAZA'!G8:G1048576,'ESTANDAR HORAS'!F3)</f>
        <v>0</v>
      </c>
      <c r="FC9" s="169">
        <f>COUNTIFS('MATRIZ TRAZA'!D8:D1048576,'ESTANDAR HORAS'!A9,'MATRIZ TRAZA'!E8:E1048576,'ESTANDAR HORAS'!B26,'MATRIZ TRAZA'!G8:G1048576,'ESTANDAR HORAS'!G3)</f>
        <v>0</v>
      </c>
      <c r="FD9" s="169">
        <f>COUNTIFS('MATRIZ TRAZA'!D8:D1048576,'ESTANDAR HORAS'!A9,'MATRIZ TRAZA'!E8:E1048576,'ESTANDAR HORAS'!B26,'MATRIZ TRAZA'!G8:G1048576,'ESTANDAR HORAS'!H3)</f>
        <v>0</v>
      </c>
      <c r="FE9" s="169">
        <f>COUNTIFS('MATRIZ TRAZA'!D8:D1048576,'ESTANDAR HORAS'!A9,'MATRIZ TRAZA'!E8:E1048576,'ESTANDAR HORAS'!B26,'MATRIZ TRAZA'!G8:G1048576,'ESTANDAR HORAS'!I3)</f>
        <v>0</v>
      </c>
      <c r="FF9" s="169">
        <f>COUNTIFS('MATRIZ TRAZA'!D8:D1048576,'ESTANDAR HORAS'!A9,'MATRIZ TRAZA'!E8:E1048576,'ESTANDAR HORAS'!B26,'MATRIZ TRAZA'!G8:G1048576,'ESTANDAR HORAS'!J3)</f>
        <v>0</v>
      </c>
      <c r="FG9" s="169">
        <f>COUNTIFS('MATRIZ TRAZA'!D8:D1048576,'ESTANDAR HORAS'!A9,'MATRIZ TRAZA'!E8:E1048576,'ESTANDAR HORAS'!B26,'MATRIZ TRAZA'!G8:G1048576,'ESTANDAR HORAS'!K3)</f>
        <v>0</v>
      </c>
      <c r="FH9" s="38">
        <f>COUNTIFS('MATRIZ TRAZA'!D6:D1048576,'ESTANDAR HORAS'!A9,'MATRIZ TRAZA'!E6:E1048576,'ESTANDAR HORAS'!B21,'MATRIZ TRAZA'!G6:G1048576,'ESTANDAR HORAS'!C3)</f>
        <v>0</v>
      </c>
      <c r="FI9" s="38">
        <f>COUNTIFS('MATRIZ TRAZA'!D6:D1048576,'ESTANDAR HORAS'!A9,'MATRIZ TRAZA'!E6:E1048576,'ESTANDAR HORAS'!B21,'MATRIZ TRAZA'!G6:G1048576,'ESTANDAR HORAS'!D3)</f>
        <v>0</v>
      </c>
      <c r="FJ9" s="38">
        <f>COUNTIFS('MATRIZ TRAZA'!D6:D1048576,'ESTANDAR HORAS'!A9,'MATRIZ TRAZA'!E6:E1048576,'ESTANDAR HORAS'!B21,'MATRIZ TRAZA'!G6:G1048576,'ESTANDAR HORAS'!E3)</f>
        <v>0</v>
      </c>
      <c r="FK9" s="38">
        <f>COUNTIFS('MATRIZ TRAZA'!D6:D1048576,'ESTANDAR HORAS'!A9,'MATRIZ TRAZA'!E6:E1048576,'ESTANDAR HORAS'!B21,'MATRIZ TRAZA'!G6:G1048576,'ESTANDAR HORAS'!F3)</f>
        <v>0</v>
      </c>
      <c r="FL9" s="38">
        <f>COUNTIFS('MATRIZ TRAZA'!D6:D1048576,'ESTANDAR HORAS'!A9,'MATRIZ TRAZA'!E6:E1048576,'ESTANDAR HORAS'!B21,'MATRIZ TRAZA'!G6:G1048576,'ESTANDAR HORAS'!G3)</f>
        <v>0</v>
      </c>
      <c r="FM9" s="38">
        <f>COUNTIFS('MATRIZ TRAZA'!D6:D1048576,'ESTANDAR HORAS'!A9,'MATRIZ TRAZA'!E6:E1048576,'ESTANDAR HORAS'!B21,'MATRIZ TRAZA'!G6:G1048576,'ESTANDAR HORAS'!H3)</f>
        <v>0</v>
      </c>
      <c r="FN9" s="38">
        <f>COUNTIFS('MATRIZ TRAZA'!D6:D1048576,'ESTANDAR HORAS'!A9,'MATRIZ TRAZA'!E6:E1048576,'ESTANDAR HORAS'!B21,'MATRIZ TRAZA'!G6:G1048576,'ESTANDAR HORAS'!I3)</f>
        <v>0</v>
      </c>
      <c r="FO9" s="38">
        <f>COUNTIFS('MATRIZ TRAZA'!D6:D1048576,'ESTANDAR HORAS'!A9,'MATRIZ TRAZA'!E6:E1048576,'ESTANDAR HORAS'!B21,'MATRIZ TRAZA'!G6:G1048576,'ESTANDAR HORAS'!J3)</f>
        <v>0</v>
      </c>
      <c r="FP9" s="39">
        <f>COUNTIFS('MATRIZ TRAZA'!D6:D1048576,'ESTANDAR HORAS'!A9,'MATRIZ TRAZA'!E6:E1048576,'ESTANDAR HORAS'!B21,'MATRIZ TRAZA'!G6:G1048576,'ESTANDAR HORAS'!K3)</f>
        <v>0</v>
      </c>
      <c r="FQ9" s="143"/>
      <c r="FR9" s="143"/>
      <c r="FS9" s="143"/>
      <c r="FT9" s="143"/>
      <c r="FU9" s="143"/>
      <c r="FV9" s="143"/>
      <c r="FW9" s="143"/>
      <c r="FX9" s="143"/>
      <c r="FY9" s="143"/>
      <c r="FZ9" s="143"/>
      <c r="GA9" s="143"/>
      <c r="GB9" s="143"/>
      <c r="GC9" s="143"/>
      <c r="GD9" s="143"/>
      <c r="GE9" s="143"/>
      <c r="GF9" s="143"/>
      <c r="GG9" s="143"/>
      <c r="GH9" s="143"/>
      <c r="GI9" s="109"/>
      <c r="GJ9" s="109"/>
      <c r="GK9" s="109"/>
      <c r="GL9" s="40">
        <f>SUM(B9:GK9)</f>
        <v>0</v>
      </c>
      <c r="GM9" s="445"/>
      <c r="GN9" s="5"/>
      <c r="GO9" s="5"/>
      <c r="GP9" s="5"/>
      <c r="GQ9" s="5"/>
      <c r="GR9" s="5"/>
      <c r="GS9" s="5"/>
      <c r="GT9" s="5"/>
      <c r="GU9" s="175">
        <f>GT8</f>
        <v>0</v>
      </c>
    </row>
    <row r="10" spans="1:203" ht="15.6" x14ac:dyDescent="0.3">
      <c r="A10" s="37" t="s">
        <v>239</v>
      </c>
      <c r="B10" s="38">
        <f>COUNTIFS('MATRIZ TRAZA'!D6:D1048576,'ESTANDAR HORAS'!A7,'MATRIZ TRAZA'!E6:E1048576,'ESTANDAR HORAS'!B16,'MATRIZ TRAZA'!G6:G1048576,'ESTANDAR HORAS'!C3,'MATRIZ TRAZA'!H6:H1048576,"SI")</f>
        <v>0</v>
      </c>
      <c r="C10" s="38">
        <f>COUNTIFS('MATRIZ TRAZA'!D6:D1048576,'ESTANDAR HORAS'!A7,'MATRIZ TRAZA'!E6:E1048576,'ESTANDAR HORAS'!B16,'MATRIZ TRAZA'!G6:G1048576,'ESTANDAR HORAS'!D3,'MATRIZ TRAZA'!H6:H1048576,"SI")</f>
        <v>0</v>
      </c>
      <c r="D10" s="38">
        <f>COUNTIFS('MATRIZ TRAZA'!D6:D1048576,'ESTANDAR HORAS'!A7,'MATRIZ TRAZA'!E6:E1048576,'ESTANDAR HORAS'!B16,'MATRIZ TRAZA'!G6:G1048576,'ESTANDAR HORAS'!E3,'MATRIZ TRAZA'!H6:H1048576,"SI")</f>
        <v>0</v>
      </c>
      <c r="E10" s="38">
        <f>COUNTIFS('MATRIZ TRAZA'!D6:D1048576,'ESTANDAR HORAS'!A7,'MATRIZ TRAZA'!E6:E1048576,'ESTANDAR HORAS'!B16,'MATRIZ TRAZA'!G6:G1048576,'ESTANDAR HORAS'!F3,'MATRIZ TRAZA'!H6:H1048576,"SI")</f>
        <v>0</v>
      </c>
      <c r="F10" s="38">
        <f>COUNTIFS('MATRIZ TRAZA'!D6:D1048576,'ESTANDAR HORAS'!A7,'MATRIZ TRAZA'!E6:E1048576,'ESTANDAR HORAS'!B16,'MATRIZ TRAZA'!G6:G1048576,'ESTANDAR HORAS'!G3,'MATRIZ TRAZA'!H6:H1048576,"SI")</f>
        <v>0</v>
      </c>
      <c r="G10" s="38">
        <f>COUNTIFS('MATRIZ TRAZA'!D6:D1048576,'ESTANDAR HORAS'!A7,'MATRIZ TRAZA'!E6:E1048576,'ESTANDAR HORAS'!B16,'MATRIZ TRAZA'!G6:G1048576,'ESTANDAR HORAS'!H3,'MATRIZ TRAZA'!H6:H1048576,"SI")</f>
        <v>0</v>
      </c>
      <c r="H10" s="38">
        <f>COUNTIFS('MATRIZ TRAZA'!D6:D1048576,'ESTANDAR HORAS'!A7,'MATRIZ TRAZA'!E6:E1048576,'ESTANDAR HORAS'!B16,'MATRIZ TRAZA'!G6:G1048576,'ESTANDAR HORAS'!I3,'MATRIZ TRAZA'!H6:H1048576,"SI")</f>
        <v>0</v>
      </c>
      <c r="I10" s="38">
        <f>COUNTIFS('MATRIZ TRAZA'!D6:D1048576,'ESTANDAR HORAS'!A7,'MATRIZ TRAZA'!E6:E1048576,'ESTANDAR HORAS'!B16,'MATRIZ TRAZA'!G6:G1048576,'ESTANDAR HORAS'!J3,'MATRIZ TRAZA'!H6:H1048576,"SI")</f>
        <v>0</v>
      </c>
      <c r="J10" s="38">
        <f>COUNTIFS('MATRIZ TRAZA'!D6:D1048576,'ESTANDAR HORAS'!A7,'MATRIZ TRAZA'!E6:E1048576,'ESTANDAR HORAS'!B16,'MATRIZ TRAZA'!G6:G1048576,'ESTANDAR HORAS'!K3,'MATRIZ TRAZA'!H6:H1048576,"SI")</f>
        <v>0</v>
      </c>
      <c r="K10" s="38">
        <f>COUNTIFS('MATRIZ TRAZA'!D6:D1048576,'ESTANDAR HORAS'!A7,'MATRIZ TRAZA'!E6:E1048576,'ESTANDAR HORAS'!B15,'MATRIZ TRAZA'!G6:G1048576,'ESTANDAR HORAS'!C3,'MATRIZ TRAZA'!H6:H1048576,"SI")</f>
        <v>0</v>
      </c>
      <c r="L10" s="38">
        <f>COUNTIFS('MATRIZ TRAZA'!D6:D1048576,'ESTANDAR HORAS'!A7,'MATRIZ TRAZA'!E6:E1048576,'ESTANDAR HORAS'!B15,'MATRIZ TRAZA'!G6:G1048576,'ESTANDAR HORAS'!D3,'MATRIZ TRAZA'!H6:H1048576,"SI")</f>
        <v>0</v>
      </c>
      <c r="M10" s="38">
        <f>COUNTIFS('MATRIZ TRAZA'!D6:D1048576,'ESTANDAR HORAS'!A7,'MATRIZ TRAZA'!E6:E1048576,'ESTANDAR HORAS'!B15,'MATRIZ TRAZA'!G6:G1048576,'ESTANDAR HORAS'!E3,'MATRIZ TRAZA'!H6:H1048576,"SI")</f>
        <v>0</v>
      </c>
      <c r="N10" s="38">
        <f>COUNTIFS('MATRIZ TRAZA'!D6:D1048576,'ESTANDAR HORAS'!A7,'MATRIZ TRAZA'!E6:E1048576,'ESTANDAR HORAS'!B15,'MATRIZ TRAZA'!G6:G1048576,'ESTANDAR HORAS'!F3,'MATRIZ TRAZA'!H6:H1048576,"SI")</f>
        <v>0</v>
      </c>
      <c r="O10" s="38">
        <f>COUNTIFS('MATRIZ TRAZA'!D6:D1048576,'ESTANDAR HORAS'!A7,'MATRIZ TRAZA'!E6:E1048576,'ESTANDAR HORAS'!B15,'MATRIZ TRAZA'!G6:G1048576,'ESTANDAR HORAS'!G3,'MATRIZ TRAZA'!H6:H1048576,"SI")</f>
        <v>0</v>
      </c>
      <c r="P10" s="38">
        <f>COUNTIFS('MATRIZ TRAZA'!D6:D1048576,'ESTANDAR HORAS'!A7,'MATRIZ TRAZA'!E6:E1048576,'ESTANDAR HORAS'!B15,'MATRIZ TRAZA'!G6:G1048576,'ESTANDAR HORAS'!H3,'MATRIZ TRAZA'!H6:H1048576,"SI")</f>
        <v>0</v>
      </c>
      <c r="Q10" s="38">
        <f>COUNTIFS('MATRIZ TRAZA'!D6:D1048576,'ESTANDAR HORAS'!A7,'MATRIZ TRAZA'!E6:E1048576,'ESTANDAR HORAS'!B15,'MATRIZ TRAZA'!G6:G1048576,'ESTANDAR HORAS'!I3,'MATRIZ TRAZA'!H6:H1048576,"SI")</f>
        <v>0</v>
      </c>
      <c r="R10" s="38">
        <f>COUNTIFS('MATRIZ TRAZA'!D6:D1048576,'ESTANDAR HORAS'!A7,'MATRIZ TRAZA'!E6:E1048576,'ESTANDAR HORAS'!B15,'MATRIZ TRAZA'!G6:G1048576,'ESTANDAR HORAS'!J3,'MATRIZ TRAZA'!H6:H1048576,"SI")</f>
        <v>0</v>
      </c>
      <c r="S10" s="38">
        <f>COUNTIFS('MATRIZ TRAZA'!D6:D1048576,'ESTANDAR HORAS'!A7,'MATRIZ TRAZA'!E6:E1048576,'ESTANDAR HORAS'!B15,'MATRIZ TRAZA'!G6:G1048576,'ESTANDAR HORAS'!K3,'MATRIZ TRAZA'!H6:H1048576,"SI")</f>
        <v>0</v>
      </c>
      <c r="T10" s="38">
        <f>COUNTIFS('MATRIZ TRAZA'!D6:D1048576,'ESTANDAR HORAS'!A7,'MATRIZ TRAZA'!E6:E1048576,'ESTANDAR HORAS'!B19,'MATRIZ TRAZA'!G6:G1048576,'ESTANDAR HORAS'!C3,'MATRIZ TRAZA'!H6:H1048576,"SI")</f>
        <v>0</v>
      </c>
      <c r="U10" s="38">
        <f>COUNTIFS('MATRIZ TRAZA'!D6:D1048576,'ESTANDAR HORAS'!A7,'MATRIZ TRAZA'!E6:E1048576,'ESTANDAR HORAS'!B19,'MATRIZ TRAZA'!G6:G1048576,'ESTANDAR HORAS'!D3,'MATRIZ TRAZA'!H6:H1048576,"SI")</f>
        <v>0</v>
      </c>
      <c r="V10" s="38">
        <f>COUNTIFS('MATRIZ TRAZA'!D6:D1048576,'ESTANDAR HORAS'!A7,'MATRIZ TRAZA'!E6:E1048576,'ESTANDAR HORAS'!B19,'MATRIZ TRAZA'!G6:G1048576,'ESTANDAR HORAS'!E3,'MATRIZ TRAZA'!H6:H1048576,"SI")</f>
        <v>0</v>
      </c>
      <c r="W10" s="38">
        <f>COUNTIFS('MATRIZ TRAZA'!D6:D1048576,'ESTANDAR HORAS'!A7,'MATRIZ TRAZA'!E6:E1048576,'ESTANDAR HORAS'!B19,'MATRIZ TRAZA'!G6:G1048576,'ESTANDAR HORAS'!F3,'MATRIZ TRAZA'!H6:H1048576,"SI")</f>
        <v>0</v>
      </c>
      <c r="X10" s="38">
        <f>COUNTIFS('MATRIZ TRAZA'!D6:D1048576,'ESTANDAR HORAS'!A7,'MATRIZ TRAZA'!E6:E1048576,'ESTANDAR HORAS'!B19,'MATRIZ TRAZA'!G6:G1048576,'ESTANDAR HORAS'!G3,'MATRIZ TRAZA'!H6:H1048576,"SI")</f>
        <v>0</v>
      </c>
      <c r="Y10" s="38">
        <f>COUNTIFS('MATRIZ TRAZA'!D6:D1048576,'ESTANDAR HORAS'!A7,'MATRIZ TRAZA'!E6:E1048576,'ESTANDAR HORAS'!B19,'MATRIZ TRAZA'!G6:G1048576,'ESTANDAR HORAS'!H3,'MATRIZ TRAZA'!H6:H1048576,"SI")</f>
        <v>0</v>
      </c>
      <c r="Z10" s="38">
        <f>COUNTIFS('MATRIZ TRAZA'!D6:D1048576,'ESTANDAR HORAS'!A7,'MATRIZ TRAZA'!E6:E1048576,'ESTANDAR HORAS'!B19,'MATRIZ TRAZA'!G6:G1048576,'ESTANDAR HORAS'!I3,'MATRIZ TRAZA'!H6:H1048576,"SI")</f>
        <v>0</v>
      </c>
      <c r="AA10" s="38">
        <f>COUNTIFS('MATRIZ TRAZA'!D6:D1048576,'ESTANDAR HORAS'!A7,'MATRIZ TRAZA'!E6:E1048576,'ESTANDAR HORAS'!B19,'MATRIZ TRAZA'!G6:G1048576,'ESTANDAR HORAS'!J3,'MATRIZ TRAZA'!H6:H1048576,"NO")</f>
        <v>0</v>
      </c>
      <c r="AB10" s="38">
        <f>COUNTIFS('MATRIZ TRAZA'!D6:D1048576,'ESTANDAR HORAS'!A7,'MATRIZ TRAZA'!E6:E1048576,'ESTANDAR HORAS'!B19,'MATRIZ TRAZA'!G6:G1048576,'ESTANDAR HORAS'!K3,'MATRIZ TRAZA'!H6:H1048576,"SI")</f>
        <v>0</v>
      </c>
      <c r="AC10" s="467"/>
      <c r="AD10" s="468"/>
      <c r="AE10" s="468"/>
      <c r="AF10" s="468"/>
      <c r="AG10" s="468"/>
      <c r="AH10" s="468"/>
      <c r="AI10" s="468"/>
      <c r="AJ10" s="468"/>
      <c r="AK10" s="469"/>
      <c r="AL10" s="467"/>
      <c r="AM10" s="468"/>
      <c r="AN10" s="468"/>
      <c r="AO10" s="468"/>
      <c r="AP10" s="468"/>
      <c r="AQ10" s="468"/>
      <c r="AR10" s="468"/>
      <c r="AS10" s="468"/>
      <c r="AT10" s="469"/>
      <c r="AU10" s="467"/>
      <c r="AV10" s="468"/>
      <c r="AW10" s="468"/>
      <c r="AX10" s="468"/>
      <c r="AY10" s="468"/>
      <c r="AZ10" s="468"/>
      <c r="BA10" s="468"/>
      <c r="BB10" s="468"/>
      <c r="BC10" s="469"/>
      <c r="BD10" s="294"/>
      <c r="BE10" s="295"/>
      <c r="BF10" s="295"/>
      <c r="BG10" s="295"/>
      <c r="BH10" s="295"/>
      <c r="BI10" s="295"/>
      <c r="BJ10" s="295"/>
      <c r="BK10" s="295"/>
      <c r="BL10" s="296"/>
      <c r="BM10" s="39">
        <f>COUNTIFS('MATRIZ TRAZA'!D6:D1048576,'ESTANDAR HORAS'!A7,'MATRIZ TRAZA'!E6:E1048576,'ESTANDAR HORAS'!B12,'MATRIZ TRAZA'!G6:G1048576,'ESTANDAR HORAS'!C3,'MATRIZ TRAZA'!H6:H1048576,"SI")</f>
        <v>0</v>
      </c>
      <c r="BN10" s="39">
        <f>COUNTIFS('MATRIZ TRAZA'!D6:D1048576,'ESTANDAR HORAS'!A7,'MATRIZ TRAZA'!E6:E1048576,'ESTANDAR HORAS'!B12,'MATRIZ TRAZA'!G6:G1048576,'ESTANDAR HORAS'!D3,'MATRIZ TRAZA'!H6:H1048576,"SI")</f>
        <v>0</v>
      </c>
      <c r="BO10" s="39">
        <f>COUNTIFS('MATRIZ TRAZA'!D6:D1048576,'ESTANDAR HORAS'!A7,'MATRIZ TRAZA'!E6:E1048576,'ESTANDAR HORAS'!B12,'MATRIZ TRAZA'!G6:G1048576,'ESTANDAR HORAS'!E3,'MATRIZ TRAZA'!H6:H1048576,"SI")</f>
        <v>0</v>
      </c>
      <c r="BP10" s="39">
        <f>COUNTIFS('MATRIZ TRAZA'!D6:D1048576,'ESTANDAR HORAS'!A7,'MATRIZ TRAZA'!E6:E1048576,'ESTANDAR HORAS'!B12,'MATRIZ TRAZA'!G6:G1048576,'ESTANDAR HORAS'!F3,'MATRIZ TRAZA'!H6:H1048576,"SI")</f>
        <v>0</v>
      </c>
      <c r="BQ10" s="39">
        <f>COUNTIFS('MATRIZ TRAZA'!D6:D1048576,'ESTANDAR HORAS'!A7,'MATRIZ TRAZA'!E6:E1048576,'ESTANDAR HORAS'!B12,'MATRIZ TRAZA'!G6:G1048576,'ESTANDAR HORAS'!G3,'MATRIZ TRAZA'!H6:H1048576,"SI")</f>
        <v>0</v>
      </c>
      <c r="BR10" s="39">
        <f>COUNTIFS('MATRIZ TRAZA'!D6:D1048576,'ESTANDAR HORAS'!A7,'MATRIZ TRAZA'!E6:E1048576,'ESTANDAR HORAS'!B12,'MATRIZ TRAZA'!G6:G1048576,'ESTANDAR HORAS'!H3,'MATRIZ TRAZA'!H6:H1048576,"SI")</f>
        <v>0</v>
      </c>
      <c r="BS10" s="39">
        <f>COUNTIFS('MATRIZ TRAZA'!D6:D1048576,'ESTANDAR HORAS'!A7,'MATRIZ TRAZA'!E6:E1048576,'ESTANDAR HORAS'!B12,'MATRIZ TRAZA'!G6:G1048576,'ESTANDAR HORAS'!I3,'MATRIZ TRAZA'!H6:H1048576,"SI")</f>
        <v>0</v>
      </c>
      <c r="BT10" s="39">
        <f>COUNTIFS('MATRIZ TRAZA'!D6:D1048576,'ESTANDAR HORAS'!A7,'MATRIZ TRAZA'!E6:E1048576,'ESTANDAR HORAS'!B12,'MATRIZ TRAZA'!G6:G1048576,'ESTANDAR HORAS'!J3,'MATRIZ TRAZA'!H6:H1048576,"SI")</f>
        <v>0</v>
      </c>
      <c r="BU10" s="39">
        <f>COUNTIFS('MATRIZ TRAZA'!D6:D1048576,'ESTANDAR HORAS'!A7,'MATRIZ TRAZA'!E6:E1048576,'ESTANDAR HORAS'!B12,'MATRIZ TRAZA'!G6:G1048576,'ESTANDAR HORAS'!K3,'MATRIZ TRAZA'!H6:H1048576,"SI")</f>
        <v>0</v>
      </c>
      <c r="BV10" s="38">
        <f>COUNTIFS('MATRIZ TRAZA'!D6:D1048576,'ESTANDAR HORAS'!A7,'MATRIZ TRAZA'!E6:E1048576,'ESTANDAR HORAS'!B17,'MATRIZ TRAZA'!G6:G1048576,'ESTANDAR HORAS'!C3,'MATRIZ TRAZA'!H6:H1048576,"SI")</f>
        <v>0</v>
      </c>
      <c r="BW10" s="38">
        <f>COUNTIFS('MATRIZ TRAZA'!D6:D1048576,'ESTANDAR HORAS'!A7,'MATRIZ TRAZA'!E6:E1048576,'ESTANDAR HORAS'!B17,'MATRIZ TRAZA'!G6:G1048576,'ESTANDAR HORAS'!D3,'MATRIZ TRAZA'!H6:H1048576,"SI")</f>
        <v>0</v>
      </c>
      <c r="BX10" s="38">
        <f>COUNTIFS('MATRIZ TRAZA'!D6:D1048576,'ESTANDAR HORAS'!A7,'MATRIZ TRAZA'!E6:E1048576,'ESTANDAR HORAS'!B17,'MATRIZ TRAZA'!G6:G1048576,'ESTANDAR HORAS'!E3,'MATRIZ TRAZA'!H6:H1048576,"SI")</f>
        <v>0</v>
      </c>
      <c r="BY10" s="38">
        <f>COUNTIFS('MATRIZ TRAZA'!D6:D1048576,'ESTANDAR HORAS'!A7,'MATRIZ TRAZA'!E6:E1048576,'ESTANDAR HORAS'!B17,'MATRIZ TRAZA'!G6:G1048576,'ESTANDAR HORAS'!F3,'MATRIZ TRAZA'!H6:H1048576,"SI")</f>
        <v>0</v>
      </c>
      <c r="BZ10" s="38">
        <f>COUNTIFS('MATRIZ TRAZA'!D6:D1048576,'ESTANDAR HORAS'!A7,'MATRIZ TRAZA'!E6:E1048576,'ESTANDAR HORAS'!B17,'MATRIZ TRAZA'!G6:G1048576,'ESTANDAR HORAS'!G3,'MATRIZ TRAZA'!H6:H1048576,"SI")</f>
        <v>0</v>
      </c>
      <c r="CA10" s="38">
        <f>COUNTIFS('MATRIZ TRAZA'!D6:D1048576,'ESTANDAR HORAS'!A7,'MATRIZ TRAZA'!E6:E1048576,'ESTANDAR HORAS'!B17,'MATRIZ TRAZA'!G6:G1048576,'ESTANDAR HORAS'!H3,'MATRIZ TRAZA'!H6:H1048576,"SI")</f>
        <v>0</v>
      </c>
      <c r="CB10" s="38">
        <f>COUNTIFS('MATRIZ TRAZA'!D6:D1048576,'ESTANDAR HORAS'!A7,'MATRIZ TRAZA'!E6:E1048576,'ESTANDAR HORAS'!B17,'MATRIZ TRAZA'!G6:G1048576,'ESTANDAR HORAS'!I3,'MATRIZ TRAZA'!H6:H1048576,"SI")</f>
        <v>0</v>
      </c>
      <c r="CC10" s="38">
        <f>COUNTIFS('MATRIZ TRAZA'!D6:D1048576,'ESTANDAR HORAS'!A7,'MATRIZ TRAZA'!E6:E1048576,'ESTANDAR HORAS'!B17,'MATRIZ TRAZA'!G6:G1048576,'ESTANDAR HORAS'!J3,'MATRIZ TRAZA'!H6:H1048576,"SI")</f>
        <v>0</v>
      </c>
      <c r="CD10" s="38">
        <f>COUNTIFS('MATRIZ TRAZA'!D6:D1048576,'ESTANDAR HORAS'!A7,'MATRIZ TRAZA'!E6:E1048576,'ESTANDAR HORAS'!B17,'MATRIZ TRAZA'!G6:G1048576,'ESTANDAR HORAS'!K3,'MATRIZ TRAZA'!H6:H1048576,"SI")</f>
        <v>0</v>
      </c>
      <c r="CE10" s="294"/>
      <c r="CF10" s="295"/>
      <c r="CG10" s="295"/>
      <c r="CH10" s="295"/>
      <c r="CI10" s="295"/>
      <c r="CJ10" s="295"/>
      <c r="CK10" s="295"/>
      <c r="CL10" s="295"/>
      <c r="CM10" s="296"/>
      <c r="CN10" s="274"/>
      <c r="CO10" s="275"/>
      <c r="CP10" s="275"/>
      <c r="CQ10" s="275"/>
      <c r="CR10" s="275"/>
      <c r="CS10" s="275"/>
      <c r="CT10" s="275"/>
      <c r="CU10" s="275"/>
      <c r="CV10" s="275"/>
      <c r="CW10" s="275"/>
      <c r="CX10" s="275"/>
      <c r="CY10" s="275"/>
      <c r="CZ10" s="275"/>
      <c r="DA10" s="275"/>
      <c r="DB10" s="275"/>
      <c r="DC10" s="275"/>
      <c r="DD10" s="275"/>
      <c r="DE10" s="276"/>
      <c r="DF10" s="294"/>
      <c r="DG10" s="295"/>
      <c r="DH10" s="295"/>
      <c r="DI10" s="295"/>
      <c r="DJ10" s="295"/>
      <c r="DK10" s="295"/>
      <c r="DL10" s="295"/>
      <c r="DM10" s="295"/>
      <c r="DN10" s="296"/>
      <c r="DO10" s="39">
        <f>COUNTIFS('MATRIZ TRAZA'!D6:D1048576,'ESTANDAR HORAS'!A7,'MATRIZ TRAZA'!E6:E1048576,'ESTANDAR HORAS'!B10,'MATRIZ TRAZA'!G6:G1048576,'ESTANDAR HORAS'!C3,'MATRIZ TRAZA'!H6:H1048576,"SI")</f>
        <v>0</v>
      </c>
      <c r="DP10" s="39">
        <f>COUNTIFS('MATRIZ TRAZA'!D6:D1048576,'ESTANDAR HORAS'!A7,'MATRIZ TRAZA'!E6:E1048576,'ESTANDAR HORAS'!B10,'MATRIZ TRAZA'!G6:G1048576,'ESTANDAR HORAS'!D3,'MATRIZ TRAZA'!H6:H1048576,"SI")</f>
        <v>0</v>
      </c>
      <c r="DQ10" s="39">
        <f>COUNTIFS('MATRIZ TRAZA'!D6:D1048576,'ESTANDAR HORAS'!A7,'MATRIZ TRAZA'!E6:E1048576,'ESTANDAR HORAS'!B10,'MATRIZ TRAZA'!G6:G1048576,'ESTANDAR HORAS'!E3,'MATRIZ TRAZA'!H6:H1048576,"SI")</f>
        <v>0</v>
      </c>
      <c r="DR10" s="39">
        <f>COUNTIFS('MATRIZ TRAZA'!D6:D1048576,'ESTANDAR HORAS'!A7,'MATRIZ TRAZA'!E6:E1048576,'ESTANDAR HORAS'!B10,'MATRIZ TRAZA'!G6:G1048576,'ESTANDAR HORAS'!F3,'MATRIZ TRAZA'!H6:H1048576,"SI")</f>
        <v>0</v>
      </c>
      <c r="DS10" s="39">
        <f>COUNTIFS('MATRIZ TRAZA'!D6:D1048576,'ESTANDAR HORAS'!A7,'MATRIZ TRAZA'!E6:E1048576,'ESTANDAR HORAS'!B10,'MATRIZ TRAZA'!G6:G1048576,'ESTANDAR HORAS'!G3,'MATRIZ TRAZA'!H6:H1048576,"SI")</f>
        <v>0</v>
      </c>
      <c r="DT10" s="39">
        <f>COUNTIFS('MATRIZ TRAZA'!D6:D1048576,'ESTANDAR HORAS'!A7,'MATRIZ TRAZA'!E6:E1048576,'ESTANDAR HORAS'!B10,'MATRIZ TRAZA'!G6:G1048576,'ESTANDAR HORAS'!H3,'MATRIZ TRAZA'!H6:H1048576,"SI")</f>
        <v>0</v>
      </c>
      <c r="DU10" s="39">
        <f>COUNTIFS('MATRIZ TRAZA'!D6:D1048576,'ESTANDAR HORAS'!A7,'MATRIZ TRAZA'!E6:E1048576,'ESTANDAR HORAS'!B10,'MATRIZ TRAZA'!G6:G1048576,'ESTANDAR HORAS'!I3,'MATRIZ TRAZA'!H6:H1048576,"SI")</f>
        <v>0</v>
      </c>
      <c r="DV10" s="39">
        <f>COUNTIFS('MATRIZ TRAZA'!D6:D1048576,'ESTANDAR HORAS'!A7,'MATRIZ TRAZA'!E6:E1048576,'ESTANDAR HORAS'!B10,'MATRIZ TRAZA'!G6:G1048576,'ESTANDAR HORAS'!J3,'MATRIZ TRAZA'!H6:H1048576,"SI")</f>
        <v>0</v>
      </c>
      <c r="DW10" s="39">
        <f>COUNTIFS('MATRIZ TRAZA'!D6:D1048576,'ESTANDAR HORAS'!A7,'MATRIZ TRAZA'!E6:E1048576,'ESTANDAR HORAS'!B10,'MATRIZ TRAZA'!G6:G1048576,'ESTANDAR HORAS'!K3,'MATRIZ TRAZA'!H6:H1048576,"SI")</f>
        <v>0</v>
      </c>
      <c r="DX10" s="274"/>
      <c r="DY10" s="275"/>
      <c r="DZ10" s="275"/>
      <c r="EA10" s="275"/>
      <c r="EB10" s="275"/>
      <c r="EC10" s="275"/>
      <c r="ED10" s="275"/>
      <c r="EE10" s="275"/>
      <c r="EF10" s="275"/>
      <c r="EG10" s="275"/>
      <c r="EH10" s="275"/>
      <c r="EI10" s="275"/>
      <c r="EJ10" s="275"/>
      <c r="EK10" s="275"/>
      <c r="EL10" s="275"/>
      <c r="EM10" s="275"/>
      <c r="EN10" s="275"/>
      <c r="EO10" s="275"/>
      <c r="EP10" s="275"/>
      <c r="EQ10" s="275"/>
      <c r="ER10" s="275"/>
      <c r="ES10" s="275"/>
      <c r="ET10" s="275"/>
      <c r="EU10" s="275"/>
      <c r="EV10" s="275"/>
      <c r="EW10" s="275"/>
      <c r="EX10" s="276"/>
      <c r="EY10" s="297"/>
      <c r="EZ10" s="297"/>
      <c r="FA10" s="297"/>
      <c r="FB10" s="297"/>
      <c r="FC10" s="297"/>
      <c r="FD10" s="297"/>
      <c r="FE10" s="297"/>
      <c r="FF10" s="297"/>
      <c r="FG10" s="297"/>
      <c r="FH10" s="39">
        <f>COUNTIFS('MATRIZ TRAZA'!D6:D1048576,'ESTANDAR HORAS'!A7,'MATRIZ TRAZA'!E6:E1048576,'ESTANDAR HORAS'!B21,'MATRIZ TRAZA'!G6:G1048576,'ESTANDAR HORAS'!C3,'MATRIZ TRAZA'!H6:H1048576,"SI")</f>
        <v>0</v>
      </c>
      <c r="FI10" s="39">
        <f>COUNTIFS('MATRIZ TRAZA'!D6:D1048576,'ESTANDAR HORAS'!A7,'MATRIZ TRAZA'!E6:E1048576,'ESTANDAR HORAS'!B21,'MATRIZ TRAZA'!G6:G1048576,'ESTANDAR HORAS'!D3,'MATRIZ TRAZA'!H6:H1048576,"SI")</f>
        <v>0</v>
      </c>
      <c r="FJ10" s="39">
        <f>COUNTIFS('MATRIZ TRAZA'!D6:D1048576,'ESTANDAR HORAS'!A7,'MATRIZ TRAZA'!E6:E1048576,'ESTANDAR HORAS'!B21,'MATRIZ TRAZA'!G6:G1048576,'ESTANDAR HORAS'!E3,'MATRIZ TRAZA'!H6:H1048576,"SI")</f>
        <v>0</v>
      </c>
      <c r="FK10" s="39">
        <f>COUNTIFS('MATRIZ TRAZA'!D6:D1048576,'ESTANDAR HORAS'!A7,'MATRIZ TRAZA'!E6:E1048576,'ESTANDAR HORAS'!B21,'MATRIZ TRAZA'!G6:G1048576,'ESTANDAR HORAS'!F3,'MATRIZ TRAZA'!H6:H1048576,"SI")</f>
        <v>0</v>
      </c>
      <c r="FL10" s="39">
        <f>COUNTIFS('MATRIZ TRAZA'!D6:D1048576,'ESTANDAR HORAS'!A7,'MATRIZ TRAZA'!E6:E1048576,'ESTANDAR HORAS'!B21,'MATRIZ TRAZA'!G6:G1048576,'ESTANDAR HORAS'!G3,'MATRIZ TRAZA'!H6:H1048576,"SI")</f>
        <v>0</v>
      </c>
      <c r="FM10" s="39">
        <f>COUNTIFS('MATRIZ TRAZA'!D6:D1048576,'ESTANDAR HORAS'!A7,'MATRIZ TRAZA'!E6:E1048576,'ESTANDAR HORAS'!B21,'MATRIZ TRAZA'!G6:G1048576,'ESTANDAR HORAS'!H3,'MATRIZ TRAZA'!H6:H1048576,"SI")</f>
        <v>0</v>
      </c>
      <c r="FN10" s="39">
        <f>COUNTIFS('MATRIZ TRAZA'!D6:D1048576,'ESTANDAR HORAS'!A7,'MATRIZ TRAZA'!E6:E1048576,'ESTANDAR HORAS'!B21,'MATRIZ TRAZA'!G6:G1048576,'ESTANDAR HORAS'!I3,'MATRIZ TRAZA'!H6:H1048576,"SI")</f>
        <v>0</v>
      </c>
      <c r="FO10" s="39">
        <f>COUNTIFS('MATRIZ TRAZA'!D6:D1048576,'ESTANDAR HORAS'!A7,'MATRIZ TRAZA'!E6:E1048576,'ESTANDAR HORAS'!B21,'MATRIZ TRAZA'!G6:G1048576,'ESTANDAR HORAS'!J3,'MATRIZ TRAZA'!H6:H1048576,"SI")</f>
        <v>0</v>
      </c>
      <c r="FP10" s="39">
        <f>COUNTIFS('MATRIZ TRAZA'!D6:D1048576,'ESTANDAR HORAS'!A7,'MATRIZ TRAZA'!E6:E1048576,'ESTANDAR HORAS'!B21,'MATRIZ TRAZA'!G6:G1048576,'ESTANDAR HORAS'!K3,'MATRIZ TRAZA'!H6:H1048576,"SI")</f>
        <v>0</v>
      </c>
      <c r="FQ10" s="143"/>
      <c r="FR10" s="143"/>
      <c r="FS10" s="143"/>
      <c r="FT10" s="143"/>
      <c r="FU10" s="143"/>
      <c r="FV10" s="143"/>
      <c r="FW10" s="143"/>
      <c r="FX10" s="143"/>
      <c r="FY10" s="143"/>
      <c r="FZ10" s="143"/>
      <c r="GA10" s="143"/>
      <c r="GB10" s="143"/>
      <c r="GC10" s="143"/>
      <c r="GD10" s="143"/>
      <c r="GE10" s="143"/>
      <c r="GF10" s="143"/>
      <c r="GG10" s="143"/>
      <c r="GH10" s="143"/>
      <c r="GI10" s="109"/>
      <c r="GJ10" s="109"/>
      <c r="GK10" s="109"/>
      <c r="GL10" s="40">
        <f>SUM(B10:GK10)</f>
        <v>0</v>
      </c>
      <c r="GM10" s="298"/>
      <c r="GN10" s="5"/>
      <c r="GO10" s="5"/>
      <c r="GP10" s="5"/>
      <c r="GQ10" s="5"/>
      <c r="GR10" s="5"/>
      <c r="GS10" s="5"/>
      <c r="GT10" s="5"/>
      <c r="GU10" s="175"/>
    </row>
    <row r="11" spans="1:203" ht="14.25" customHeight="1" x14ac:dyDescent="0.3">
      <c r="A11" s="41" t="s">
        <v>240</v>
      </c>
      <c r="B11" s="42" cm="1">
        <f t="array" ref="B11">SUM(B8:B9*B7)</f>
        <v>0</v>
      </c>
      <c r="C11" s="42" cm="1">
        <f t="array" ref="C11">SUM(C8:C9*C7)</f>
        <v>0</v>
      </c>
      <c r="D11" s="42" cm="1">
        <f t="array" ref="D11">SUM(D8:D9*D7)</f>
        <v>0</v>
      </c>
      <c r="E11" s="42" cm="1">
        <f t="array" ref="E11">SUM(E8:E9*E7)</f>
        <v>0</v>
      </c>
      <c r="F11" s="42" cm="1">
        <f t="array" ref="F11">SUM(F8:F9*F7)</f>
        <v>0</v>
      </c>
      <c r="G11" s="42" cm="1">
        <f t="array" ref="G11">SUM(G8:G9*G7)</f>
        <v>0</v>
      </c>
      <c r="H11" s="42" cm="1">
        <f t="array" ref="H11">SUM(H8:H9*H7)</f>
        <v>0</v>
      </c>
      <c r="I11" s="42" cm="1">
        <f t="array" ref="I11">SUM(I8:I9*I7)</f>
        <v>0</v>
      </c>
      <c r="J11" s="42" cm="1">
        <f t="array" ref="J11">SUM(J8:J9*J7)</f>
        <v>0</v>
      </c>
      <c r="K11" s="42" cm="1">
        <f t="array" ref="K11">SUM(K8:K9*K7)</f>
        <v>0</v>
      </c>
      <c r="L11" s="42" cm="1">
        <f t="array" ref="L11">SUM(L8:L9*L7)</f>
        <v>0</v>
      </c>
      <c r="M11" s="42" cm="1">
        <f t="array" ref="M11">SUM(M8:M9*M7)</f>
        <v>0</v>
      </c>
      <c r="N11" s="42" cm="1">
        <f t="array" ref="N11">SUM(N8:N9*N7)</f>
        <v>0</v>
      </c>
      <c r="O11" s="42" cm="1">
        <f t="array" ref="O11">SUM(O8:O9*O7)</f>
        <v>0</v>
      </c>
      <c r="P11" s="42" cm="1">
        <f t="array" ref="P11">SUM(P8:P9*P7)</f>
        <v>0</v>
      </c>
      <c r="Q11" s="42" cm="1">
        <f t="array" ref="Q11">SUM(Q8:Q9*Q7)</f>
        <v>0</v>
      </c>
      <c r="R11" s="42" cm="1">
        <f t="array" ref="R11">SUM(R8:R9*R7)</f>
        <v>0</v>
      </c>
      <c r="S11" s="42" cm="1">
        <f t="array" ref="S11">SUM(S8:S9*S7)</f>
        <v>0</v>
      </c>
      <c r="T11" s="42" cm="1">
        <f t="array" ref="T11">SUM(T8:T9*T7)</f>
        <v>0</v>
      </c>
      <c r="U11" s="42" cm="1">
        <f t="array" ref="U11">SUM(U8:U9*U7)</f>
        <v>0</v>
      </c>
      <c r="V11" s="42" cm="1">
        <f t="array" ref="V11">SUM(V8:V9*V7)</f>
        <v>0</v>
      </c>
      <c r="W11" s="42" cm="1">
        <f t="array" ref="W11">SUM(W8:W9*W7)</f>
        <v>0</v>
      </c>
      <c r="X11" s="42" cm="1">
        <f t="array" ref="X11">SUM(X8:X9*X7)</f>
        <v>0</v>
      </c>
      <c r="Y11" s="42" cm="1">
        <f t="array" ref="Y11">SUM(Y8:Y9*Y7)</f>
        <v>0</v>
      </c>
      <c r="Z11" s="42" cm="1">
        <f t="array" ref="Z11">SUM(Z8:Z9*Z7)</f>
        <v>0</v>
      </c>
      <c r="AA11" s="42" cm="1">
        <f t="array" ref="AA11">SUM(AA8:AA9*AA7)</f>
        <v>0</v>
      </c>
      <c r="AB11" s="42" cm="1">
        <f t="array" ref="AB11">SUM(AB8:AB9*AB7)</f>
        <v>0</v>
      </c>
      <c r="AC11" s="470"/>
      <c r="AD11" s="471"/>
      <c r="AE11" s="471"/>
      <c r="AF11" s="471"/>
      <c r="AG11" s="471"/>
      <c r="AH11" s="471"/>
      <c r="AI11" s="471"/>
      <c r="AJ11" s="471"/>
      <c r="AK11" s="472"/>
      <c r="AL11" s="470"/>
      <c r="AM11" s="471"/>
      <c r="AN11" s="471"/>
      <c r="AO11" s="471"/>
      <c r="AP11" s="471"/>
      <c r="AQ11" s="471"/>
      <c r="AR11" s="471"/>
      <c r="AS11" s="471"/>
      <c r="AT11" s="472"/>
      <c r="AU11" s="470"/>
      <c r="AV11" s="471"/>
      <c r="AW11" s="471"/>
      <c r="AX11" s="471"/>
      <c r="AY11" s="471"/>
      <c r="AZ11" s="471"/>
      <c r="BA11" s="471"/>
      <c r="BB11" s="471"/>
      <c r="BC11" s="472"/>
      <c r="BD11" s="42" cm="1">
        <f t="array" ref="BD11">SUM(BD8:BD9*BD7)</f>
        <v>0</v>
      </c>
      <c r="BE11" s="42" cm="1">
        <f t="array" ref="BE11">SUM(BE8:BE9*BE7)</f>
        <v>0</v>
      </c>
      <c r="BF11" s="42" cm="1">
        <f t="array" ref="BF11">SUM(BF8:BF9*BF7)</f>
        <v>0</v>
      </c>
      <c r="BG11" s="42" cm="1">
        <f t="array" ref="BG11">SUM(BG8:BG9*BG7)</f>
        <v>0</v>
      </c>
      <c r="BH11" s="42" cm="1">
        <f t="array" ref="BH11">SUM(BH8:BH9*BH7)</f>
        <v>0</v>
      </c>
      <c r="BI11" s="42" cm="1">
        <f t="array" ref="BI11">SUM(BI8:BI9*BI7)</f>
        <v>0</v>
      </c>
      <c r="BJ11" s="42" cm="1">
        <f t="array" ref="BJ11">SUM(BJ8:BJ9*BJ7)</f>
        <v>0</v>
      </c>
      <c r="BK11" s="42" cm="1">
        <f t="array" ref="BK11">SUM(BK8:BK9*BK7)</f>
        <v>0</v>
      </c>
      <c r="BL11" s="42" cm="1">
        <f t="array" ref="BL11">SUM(BL8:BL9*BL7)</f>
        <v>0</v>
      </c>
      <c r="BM11" s="42" cm="1">
        <f t="array" ref="BM11">SUM(BM8:BM9*BM7)</f>
        <v>0</v>
      </c>
      <c r="BN11" s="42" cm="1">
        <f t="array" ref="BN11">SUM(BN8:BN9*BN7)</f>
        <v>0</v>
      </c>
      <c r="BO11" s="42" cm="1">
        <f t="array" ref="BO11">SUM(BO8:BO9*BO7)</f>
        <v>0</v>
      </c>
      <c r="BP11" s="42" cm="1">
        <f t="array" ref="BP11">SUM(BP8:BP9*BP7)</f>
        <v>0</v>
      </c>
      <c r="BQ11" s="42" cm="1">
        <f t="array" ref="BQ11">SUM(BQ8:BQ9*BQ7)</f>
        <v>0</v>
      </c>
      <c r="BR11" s="42" cm="1">
        <f t="array" ref="BR11">SUM(BR8:BR9*BR7)</f>
        <v>0</v>
      </c>
      <c r="BS11" s="42" cm="1">
        <f t="array" ref="BS11">SUM(BS8:BS9*BS7)</f>
        <v>0</v>
      </c>
      <c r="BT11" s="42" cm="1">
        <f t="array" ref="BT11">SUM(BT8:BT9*BT7)</f>
        <v>0</v>
      </c>
      <c r="BU11" s="42" cm="1">
        <f t="array" ref="BU11">SUM(BU8:BU9*BU7)</f>
        <v>0</v>
      </c>
      <c r="BV11" s="42" cm="1">
        <f t="array" ref="BV11">SUM(BV8:BV9*BV7)</f>
        <v>0</v>
      </c>
      <c r="BW11" s="42" cm="1">
        <f t="array" ref="BW11">SUM(BW8:BW9*BW7)</f>
        <v>0</v>
      </c>
      <c r="BX11" s="42" cm="1">
        <f t="array" ref="BX11">SUM(BX8:BX9*BX7)</f>
        <v>0</v>
      </c>
      <c r="BY11" s="42" cm="1">
        <f t="array" ref="BY11">SUM(BY8:BY9*BY7)</f>
        <v>0</v>
      </c>
      <c r="BZ11" s="42" cm="1">
        <f t="array" ref="BZ11">SUM(BZ8:BZ9*BZ7)</f>
        <v>0</v>
      </c>
      <c r="CA11" s="42" cm="1">
        <f t="array" ref="CA11">SUM(CA8:CA9*CA7)</f>
        <v>0</v>
      </c>
      <c r="CB11" s="42" cm="1">
        <f t="array" ref="CB11">SUM(CB8:CB9*CB7)</f>
        <v>0</v>
      </c>
      <c r="CC11" s="42" cm="1">
        <f t="array" ref="CC11">SUM(CC8:CC9*CC7)</f>
        <v>0</v>
      </c>
      <c r="CD11" s="42" cm="1">
        <f t="array" ref="CD11">SUM(CD8:CD9*CD7)</f>
        <v>0</v>
      </c>
      <c r="CE11" s="42" cm="1">
        <f t="array" ref="CE11">SUM(CE8:CE9*CE7)</f>
        <v>0</v>
      </c>
      <c r="CF11" s="42" cm="1">
        <f t="array" ref="CF11">SUM(CF8:CF9*CF7)</f>
        <v>0</v>
      </c>
      <c r="CG11" s="42" cm="1">
        <f t="array" ref="CG11">SUM(CG8:CG9*CG7)</f>
        <v>0</v>
      </c>
      <c r="CH11" s="42" cm="1">
        <f t="array" ref="CH11">SUM(CH8:CH9*CH7)</f>
        <v>0</v>
      </c>
      <c r="CI11" s="42" cm="1">
        <f t="array" ref="CI11">SUM(CI8:CI9*CI7)</f>
        <v>0</v>
      </c>
      <c r="CJ11" s="42" cm="1">
        <f t="array" ref="CJ11">SUM(CJ8:CJ9*CJ7)</f>
        <v>0</v>
      </c>
      <c r="CK11" s="42" cm="1">
        <f t="array" ref="CK11">SUM(CK8:CK9*CK7)</f>
        <v>0</v>
      </c>
      <c r="CL11" s="42" cm="1">
        <f t="array" ref="CL11">SUM(CL8:CL9*CL7)</f>
        <v>0</v>
      </c>
      <c r="CM11" s="42" cm="1">
        <f t="array" ref="CM11">SUM(CM8:CM9*CM7)</f>
        <v>0</v>
      </c>
      <c r="CN11" s="446"/>
      <c r="CO11" s="447"/>
      <c r="CP11" s="447"/>
      <c r="CQ11" s="447"/>
      <c r="CR11" s="447"/>
      <c r="CS11" s="447"/>
      <c r="CT11" s="447"/>
      <c r="CU11" s="447"/>
      <c r="CV11" s="447"/>
      <c r="CW11" s="447"/>
      <c r="CX11" s="447"/>
      <c r="CY11" s="447"/>
      <c r="CZ11" s="447"/>
      <c r="DA11" s="447"/>
      <c r="DB11" s="447"/>
      <c r="DC11" s="447"/>
      <c r="DD11" s="447"/>
      <c r="DE11" s="448"/>
      <c r="DF11" s="42" cm="1">
        <f t="array" ref="DF11">SUM(DF8:DF9*DF7)</f>
        <v>0</v>
      </c>
      <c r="DG11" s="42" cm="1">
        <f t="array" ref="DG11">SUM(DG8:DG9*DG7)</f>
        <v>0</v>
      </c>
      <c r="DH11" s="42" cm="1">
        <f t="array" ref="DH11">SUM(DH8:DH9*DH7)</f>
        <v>0</v>
      </c>
      <c r="DI11" s="42" cm="1">
        <f t="array" ref="DI11">SUM(DI8:DI9*DI7)</f>
        <v>0</v>
      </c>
      <c r="DJ11" s="42" cm="1">
        <f t="array" ref="DJ11">SUM(DJ8:DJ9*DJ7)</f>
        <v>0</v>
      </c>
      <c r="DK11" s="42" cm="1">
        <f t="array" ref="DK11">SUM(DK8:DK9*DK7)</f>
        <v>0</v>
      </c>
      <c r="DL11" s="42" cm="1">
        <f t="array" ref="DL11">SUM(DL8:DL9*DL7)</f>
        <v>0</v>
      </c>
      <c r="DM11" s="42" cm="1">
        <f t="array" ref="DM11">SUM(DM8:DM9*DM7)</f>
        <v>0</v>
      </c>
      <c r="DN11" s="42" cm="1">
        <f t="array" ref="DN11">SUM(DN8:DN9*DN7)</f>
        <v>0</v>
      </c>
      <c r="DO11" s="42" cm="1">
        <f t="array" ref="DO11">SUM(DO8:DO9*DO7)</f>
        <v>0</v>
      </c>
      <c r="DP11" s="42"/>
      <c r="DQ11" s="42"/>
      <c r="DR11" s="42"/>
      <c r="DS11" s="42"/>
      <c r="DT11" s="42"/>
      <c r="DU11" s="42"/>
      <c r="DV11" s="42" cm="1">
        <f t="array" ref="DV11">SUM(DV8:DV9*DV7)</f>
        <v>0</v>
      </c>
      <c r="DW11" s="42" cm="1">
        <f t="array" ref="DW11">SUM(DW8:DW9*DW7)</f>
        <v>0</v>
      </c>
      <c r="DX11" s="446"/>
      <c r="DY11" s="447"/>
      <c r="DZ11" s="447"/>
      <c r="EA11" s="447"/>
      <c r="EB11" s="447"/>
      <c r="EC11" s="447"/>
      <c r="ED11" s="447"/>
      <c r="EE11" s="447"/>
      <c r="EF11" s="447"/>
      <c r="EG11" s="447"/>
      <c r="EH11" s="447"/>
      <c r="EI11" s="447"/>
      <c r="EJ11" s="447"/>
      <c r="EK11" s="447"/>
      <c r="EL11" s="447"/>
      <c r="EM11" s="447"/>
      <c r="EN11" s="447"/>
      <c r="EO11" s="447"/>
      <c r="EP11" s="447"/>
      <c r="EQ11" s="447"/>
      <c r="ER11" s="447"/>
      <c r="ES11" s="447"/>
      <c r="ET11" s="447"/>
      <c r="EU11" s="447"/>
      <c r="EV11" s="447"/>
      <c r="EW11" s="447"/>
      <c r="EX11" s="448"/>
      <c r="EY11" s="42" cm="1">
        <f t="array" ref="EY11">SUM(EY8:EY9*EY7)</f>
        <v>0</v>
      </c>
      <c r="EZ11" s="42" cm="1">
        <f t="array" ref="EZ11">SUM(EZ8:EZ9*EZ7)</f>
        <v>0</v>
      </c>
      <c r="FA11" s="42" cm="1">
        <f t="array" ref="FA11">SUM(FA8:FA9*FA7)</f>
        <v>0</v>
      </c>
      <c r="FB11" s="42" cm="1">
        <f t="array" ref="FB11">SUM(FB8:FB9*FB7)</f>
        <v>0</v>
      </c>
      <c r="FC11" s="42" cm="1">
        <f t="array" ref="FC11">SUM(FC8:FC9*FC7)</f>
        <v>0</v>
      </c>
      <c r="FD11" s="42" cm="1">
        <f t="array" ref="FD11">SUM(FD8:FD9*FD7)</f>
        <v>0</v>
      </c>
      <c r="FE11" s="42" cm="1">
        <f t="array" ref="FE11">SUM(FE8:FE9*FE7)</f>
        <v>0</v>
      </c>
      <c r="FF11" s="42" cm="1">
        <f t="array" ref="FF11">SUM(FF8:FF9*FF7)</f>
        <v>0</v>
      </c>
      <c r="FG11" s="42" cm="1">
        <f t="array" ref="FG11">SUM(FG8:FG9*FG7)</f>
        <v>0</v>
      </c>
      <c r="FH11" s="42" cm="1">
        <f t="array" ref="FH11">SUM(FH8:FH9*FH7)</f>
        <v>0</v>
      </c>
      <c r="FI11" s="42" cm="1">
        <f t="array" ref="FI11">SUM(FI8:FI9*FI7)</f>
        <v>0</v>
      </c>
      <c r="FJ11" s="42" cm="1">
        <f t="array" ref="FJ11">SUM(FJ8:FJ9*FJ7)</f>
        <v>0</v>
      </c>
      <c r="FK11" s="42" cm="1">
        <f t="array" ref="FK11">SUM(FK8:FK9*FK7)</f>
        <v>0</v>
      </c>
      <c r="FL11" s="42" cm="1">
        <f t="array" ref="FL11">SUM(FL8:FL9*FL7)</f>
        <v>0</v>
      </c>
      <c r="FM11" s="42" cm="1">
        <f t="array" ref="FM11">SUM(FM8:FM9*FM7)</f>
        <v>0</v>
      </c>
      <c r="FN11" s="42" cm="1">
        <f t="array" ref="FN11">SUM(FN8:FN9*FN7)</f>
        <v>0</v>
      </c>
      <c r="FO11" s="42" cm="1">
        <f t="array" ref="FO11">SUM(FO8:FO9*FO7)</f>
        <v>0</v>
      </c>
      <c r="FP11" s="42" cm="1">
        <f t="array" ref="FP11">SUM(FP8:FP9*FP7)</f>
        <v>0</v>
      </c>
      <c r="FQ11" s="85"/>
      <c r="FR11" s="85"/>
      <c r="FS11" s="85"/>
      <c r="FT11" s="85"/>
      <c r="FU11" s="85"/>
      <c r="FV11" s="85"/>
      <c r="FW11" s="85"/>
      <c r="FX11" s="85"/>
      <c r="FY11" s="85"/>
      <c r="FZ11" s="85"/>
      <c r="GA11" s="85"/>
      <c r="GB11" s="85"/>
      <c r="GC11" s="85"/>
      <c r="GD11" s="85"/>
      <c r="GE11" s="85"/>
      <c r="GF11" s="85"/>
      <c r="GG11" s="85"/>
      <c r="GH11" s="85"/>
      <c r="GI11" s="102"/>
      <c r="GJ11" s="102"/>
      <c r="GK11" s="102"/>
      <c r="GL11" s="161">
        <f>SUM(B11:FP11)/60</f>
        <v>0</v>
      </c>
      <c r="GM11" s="80"/>
      <c r="GN11" s="5"/>
      <c r="GO11" s="5"/>
      <c r="GP11" s="5"/>
      <c r="GQ11" s="5"/>
      <c r="GR11" s="5"/>
      <c r="GS11" s="5"/>
      <c r="GT11" s="75"/>
      <c r="GU11" s="5"/>
    </row>
    <row r="12" spans="1:203" ht="21.6" x14ac:dyDescent="0.3">
      <c r="A12" s="41" t="s">
        <v>241</v>
      </c>
      <c r="B12" s="299">
        <f>B7*B10</f>
        <v>0</v>
      </c>
      <c r="C12" s="299">
        <f>C7*C10</f>
        <v>0</v>
      </c>
      <c r="D12" s="299">
        <f>D7*D10</f>
        <v>0</v>
      </c>
      <c r="E12" s="299">
        <f>E7*E10</f>
        <v>0</v>
      </c>
      <c r="F12" s="299">
        <f t="shared" ref="F12:AB12" si="0">F7*F10</f>
        <v>0</v>
      </c>
      <c r="G12" s="299">
        <f t="shared" si="0"/>
        <v>0</v>
      </c>
      <c r="H12" s="299">
        <f t="shared" si="0"/>
        <v>0</v>
      </c>
      <c r="I12" s="299">
        <f t="shared" si="0"/>
        <v>0</v>
      </c>
      <c r="J12" s="299">
        <f t="shared" si="0"/>
        <v>0</v>
      </c>
      <c r="K12" s="299">
        <f t="shared" si="0"/>
        <v>0</v>
      </c>
      <c r="L12" s="299">
        <f t="shared" si="0"/>
        <v>0</v>
      </c>
      <c r="M12" s="299">
        <f t="shared" si="0"/>
        <v>0</v>
      </c>
      <c r="N12" s="299">
        <f t="shared" si="0"/>
        <v>0</v>
      </c>
      <c r="O12" s="299">
        <f t="shared" si="0"/>
        <v>0</v>
      </c>
      <c r="P12" s="299">
        <f t="shared" si="0"/>
        <v>0</v>
      </c>
      <c r="Q12" s="299">
        <f t="shared" si="0"/>
        <v>0</v>
      </c>
      <c r="R12" s="299">
        <f t="shared" si="0"/>
        <v>0</v>
      </c>
      <c r="S12" s="299">
        <f t="shared" si="0"/>
        <v>0</v>
      </c>
      <c r="T12" s="299">
        <f t="shared" si="0"/>
        <v>0</v>
      </c>
      <c r="U12" s="299">
        <f t="shared" si="0"/>
        <v>0</v>
      </c>
      <c r="V12" s="299">
        <f t="shared" si="0"/>
        <v>0</v>
      </c>
      <c r="W12" s="299">
        <f t="shared" si="0"/>
        <v>0</v>
      </c>
      <c r="X12" s="299">
        <f t="shared" si="0"/>
        <v>0</v>
      </c>
      <c r="Y12" s="299">
        <f t="shared" si="0"/>
        <v>0</v>
      </c>
      <c r="Z12" s="299">
        <f t="shared" si="0"/>
        <v>0</v>
      </c>
      <c r="AA12" s="299">
        <f t="shared" si="0"/>
        <v>0</v>
      </c>
      <c r="AB12" s="299">
        <f t="shared" si="0"/>
        <v>0</v>
      </c>
      <c r="AC12" s="277"/>
      <c r="AD12" s="300"/>
      <c r="AE12" s="300"/>
      <c r="AF12" s="300"/>
      <c r="AG12" s="300"/>
      <c r="AH12" s="300"/>
      <c r="AI12" s="300"/>
      <c r="AJ12" s="300"/>
      <c r="AK12" s="278"/>
      <c r="AL12" s="277"/>
      <c r="AM12" s="300"/>
      <c r="AN12" s="300"/>
      <c r="AO12" s="300"/>
      <c r="AP12" s="300"/>
      <c r="AQ12" s="300"/>
      <c r="AR12" s="300"/>
      <c r="AS12" s="300"/>
      <c r="AT12" s="278"/>
      <c r="AU12" s="277"/>
      <c r="AV12" s="300"/>
      <c r="AW12" s="300"/>
      <c r="AX12" s="300"/>
      <c r="AY12" s="300"/>
      <c r="AZ12" s="300"/>
      <c r="BA12" s="300"/>
      <c r="BB12" s="300"/>
      <c r="BC12" s="278"/>
      <c r="BD12" s="299"/>
      <c r="BE12" s="299"/>
      <c r="BF12" s="299"/>
      <c r="BG12" s="299"/>
      <c r="BH12" s="299"/>
      <c r="BI12" s="299"/>
      <c r="BJ12" s="299"/>
      <c r="BK12" s="299"/>
      <c r="BL12" s="299"/>
      <c r="BM12" s="301"/>
      <c r="BN12" s="302"/>
      <c r="BO12" s="302"/>
      <c r="BP12" s="302"/>
      <c r="BQ12" s="302"/>
      <c r="BR12" s="302"/>
      <c r="BS12" s="302"/>
      <c r="BT12" s="302"/>
      <c r="BU12" s="303"/>
      <c r="BV12" s="299">
        <f t="shared" ref="BV12:CD12" si="1">BV7*BV10</f>
        <v>0</v>
      </c>
      <c r="BW12" s="299">
        <f t="shared" si="1"/>
        <v>0</v>
      </c>
      <c r="BX12" s="299">
        <f t="shared" si="1"/>
        <v>0</v>
      </c>
      <c r="BY12" s="299">
        <f t="shared" si="1"/>
        <v>0</v>
      </c>
      <c r="BZ12" s="299">
        <f t="shared" si="1"/>
        <v>0</v>
      </c>
      <c r="CA12" s="299">
        <f t="shared" si="1"/>
        <v>0</v>
      </c>
      <c r="CB12" s="299">
        <f t="shared" si="1"/>
        <v>0</v>
      </c>
      <c r="CC12" s="299">
        <f t="shared" si="1"/>
        <v>0</v>
      </c>
      <c r="CD12" s="299">
        <f t="shared" si="1"/>
        <v>0</v>
      </c>
      <c r="CE12" s="299"/>
      <c r="CF12" s="299"/>
      <c r="CG12" s="299"/>
      <c r="CH12" s="299"/>
      <c r="CI12" s="299"/>
      <c r="CJ12" s="299"/>
      <c r="CK12" s="299"/>
      <c r="CL12" s="299"/>
      <c r="CM12" s="299"/>
      <c r="CN12" s="304"/>
      <c r="CO12" s="305"/>
      <c r="CP12" s="305"/>
      <c r="CQ12" s="305"/>
      <c r="CR12" s="305"/>
      <c r="CS12" s="305"/>
      <c r="CT12" s="305"/>
      <c r="CU12" s="305"/>
      <c r="CV12" s="305"/>
      <c r="CW12" s="305"/>
      <c r="CX12" s="305"/>
      <c r="CY12" s="305"/>
      <c r="CZ12" s="305"/>
      <c r="DA12" s="305"/>
      <c r="DB12" s="305"/>
      <c r="DC12" s="305"/>
      <c r="DD12" s="305"/>
      <c r="DE12" s="306"/>
      <c r="DF12" s="299"/>
      <c r="DG12" s="299"/>
      <c r="DH12" s="299"/>
      <c r="DI12" s="299"/>
      <c r="DJ12" s="299"/>
      <c r="DK12" s="299"/>
      <c r="DL12" s="299"/>
      <c r="DM12" s="299"/>
      <c r="DN12" s="299"/>
      <c r="DO12" s="299"/>
      <c r="DP12" s="299"/>
      <c r="DQ12" s="299"/>
      <c r="DR12" s="299"/>
      <c r="DS12" s="299"/>
      <c r="DT12" s="299"/>
      <c r="DU12" s="299"/>
      <c r="DV12" s="299"/>
      <c r="DW12" s="299"/>
      <c r="DX12" s="304"/>
      <c r="DY12" s="305"/>
      <c r="DZ12" s="305"/>
      <c r="EA12" s="305"/>
      <c r="EB12" s="305"/>
      <c r="EC12" s="305"/>
      <c r="ED12" s="305"/>
      <c r="EE12" s="305"/>
      <c r="EF12" s="305"/>
      <c r="EG12" s="305"/>
      <c r="EH12" s="305"/>
      <c r="EI12" s="305"/>
      <c r="EJ12" s="305"/>
      <c r="EK12" s="305"/>
      <c r="EL12" s="305"/>
      <c r="EM12" s="305"/>
      <c r="EN12" s="305"/>
      <c r="EO12" s="305"/>
      <c r="EP12" s="305"/>
      <c r="EQ12" s="305"/>
      <c r="ER12" s="305"/>
      <c r="ES12" s="305"/>
      <c r="ET12" s="305"/>
      <c r="EU12" s="305"/>
      <c r="EV12" s="305"/>
      <c r="EW12" s="305"/>
      <c r="EX12" s="305"/>
      <c r="EY12" s="302"/>
      <c r="EZ12" s="302"/>
      <c r="FA12" s="302"/>
      <c r="FB12" s="302"/>
      <c r="FC12" s="302"/>
      <c r="FD12" s="302"/>
      <c r="FE12" s="302"/>
      <c r="FF12" s="302"/>
      <c r="FG12" s="302"/>
      <c r="FH12" s="302"/>
      <c r="FI12" s="302"/>
      <c r="FJ12" s="302"/>
      <c r="FK12" s="302"/>
      <c r="FL12" s="302"/>
      <c r="FM12" s="302"/>
      <c r="FN12" s="302"/>
      <c r="FO12" s="302"/>
      <c r="FP12" s="302"/>
      <c r="FQ12" s="307"/>
      <c r="FR12" s="307"/>
      <c r="FS12" s="307"/>
      <c r="FT12" s="307"/>
      <c r="FU12" s="307"/>
      <c r="FV12" s="307"/>
      <c r="FW12" s="307"/>
      <c r="FX12" s="307"/>
      <c r="FY12" s="307"/>
      <c r="FZ12" s="307"/>
      <c r="GA12" s="307"/>
      <c r="GB12" s="307"/>
      <c r="GC12" s="307"/>
      <c r="GD12" s="307"/>
      <c r="GE12" s="307"/>
      <c r="GF12" s="307"/>
      <c r="GG12" s="307"/>
      <c r="GH12" s="307"/>
      <c r="GI12" s="305"/>
      <c r="GJ12" s="305"/>
      <c r="GK12" s="305"/>
      <c r="GL12" s="161">
        <f>SUM(B12:FP12)/60</f>
        <v>0</v>
      </c>
      <c r="GM12" s="80"/>
      <c r="GN12" s="174" t="s">
        <v>140</v>
      </c>
      <c r="GO12" s="174" t="s">
        <v>141</v>
      </c>
      <c r="GP12" s="174" t="s">
        <v>166</v>
      </c>
      <c r="GQ12" s="174" t="s">
        <v>142</v>
      </c>
      <c r="GR12" s="174"/>
      <c r="GS12" s="174" t="s">
        <v>143</v>
      </c>
      <c r="GT12" s="75"/>
      <c r="GU12" s="5"/>
    </row>
    <row r="13" spans="1:203" ht="14.25" customHeight="1" x14ac:dyDescent="0.3">
      <c r="A13" s="43" t="s">
        <v>242</v>
      </c>
      <c r="B13" s="44">
        <f>'ADMIN TIEMPOS'!$C$2</f>
        <v>60</v>
      </c>
      <c r="C13" s="44">
        <f>'ADMIN TIEMPOS'!$C$3</f>
        <v>150</v>
      </c>
      <c r="D13" s="44">
        <f>'ADMIN TIEMPOS'!$C$4</f>
        <v>240</v>
      </c>
      <c r="E13" s="44">
        <f>'ADMIN TIEMPOS'!$C$5</f>
        <v>300</v>
      </c>
      <c r="F13" s="44">
        <f>'ADMIN TIEMPOS'!$C$6</f>
        <v>390</v>
      </c>
      <c r="G13" s="44">
        <f>'ADMIN TIEMPOS'!$C$7</f>
        <v>480</v>
      </c>
      <c r="H13" s="44">
        <f>'ADMIN TIEMPOS'!$C$8</f>
        <v>540</v>
      </c>
      <c r="I13" s="44">
        <f>'ADMIN TIEMPOS'!$C$9</f>
        <v>600</v>
      </c>
      <c r="J13" s="44">
        <f>'ADMIN TIEMPOS'!$C$10</f>
        <v>720</v>
      </c>
      <c r="K13" s="44">
        <f>'ADMIN TIEMPOS'!$C$2</f>
        <v>60</v>
      </c>
      <c r="L13" s="44">
        <f>'ADMIN TIEMPOS'!$C$3</f>
        <v>150</v>
      </c>
      <c r="M13" s="44">
        <f>'ADMIN TIEMPOS'!$C$4</f>
        <v>240</v>
      </c>
      <c r="N13" s="44">
        <f>'ADMIN TIEMPOS'!$C$5</f>
        <v>300</v>
      </c>
      <c r="O13" s="44">
        <f>'ADMIN TIEMPOS'!$C$6</f>
        <v>390</v>
      </c>
      <c r="P13" s="44">
        <f>'ADMIN TIEMPOS'!$C$7</f>
        <v>480</v>
      </c>
      <c r="Q13" s="44">
        <f>'ADMIN TIEMPOS'!$C$8</f>
        <v>540</v>
      </c>
      <c r="R13" s="44">
        <f>'ADMIN TIEMPOS'!$C$9</f>
        <v>600</v>
      </c>
      <c r="S13" s="44">
        <f>'ADMIN TIEMPOS'!$C$10</f>
        <v>720</v>
      </c>
      <c r="T13" s="44">
        <f>'ADMIN TIEMPOS'!$C$2</f>
        <v>60</v>
      </c>
      <c r="U13" s="44">
        <f>'ADMIN TIEMPOS'!$C$3</f>
        <v>150</v>
      </c>
      <c r="V13" s="44">
        <f>'ADMIN TIEMPOS'!$C$4</f>
        <v>240</v>
      </c>
      <c r="W13" s="44">
        <f>'ADMIN TIEMPOS'!$C$5</f>
        <v>300</v>
      </c>
      <c r="X13" s="44">
        <f>'ADMIN TIEMPOS'!$C$6</f>
        <v>390</v>
      </c>
      <c r="Y13" s="44">
        <f>'ADMIN TIEMPOS'!$C$7</f>
        <v>480</v>
      </c>
      <c r="Z13" s="44">
        <f>'ADMIN TIEMPOS'!$C$8</f>
        <v>540</v>
      </c>
      <c r="AA13" s="44">
        <f>'ADMIN TIEMPOS'!$C$9</f>
        <v>600</v>
      </c>
      <c r="AB13" s="44">
        <f>'ADMIN TIEMPOS'!$C$10</f>
        <v>720</v>
      </c>
      <c r="AC13" s="44">
        <f>'ADMIN TIEMPOS'!$C$2</f>
        <v>60</v>
      </c>
      <c r="AD13" s="44">
        <f>'ADMIN TIEMPOS'!$C$3</f>
        <v>150</v>
      </c>
      <c r="AE13" s="44">
        <f>'ADMIN TIEMPOS'!$C$4</f>
        <v>240</v>
      </c>
      <c r="AF13" s="44">
        <f>'ADMIN TIEMPOS'!$C$5</f>
        <v>300</v>
      </c>
      <c r="AG13" s="44">
        <f>'ADMIN TIEMPOS'!$C$6</f>
        <v>390</v>
      </c>
      <c r="AH13" s="44">
        <f>'ADMIN TIEMPOS'!$C$7</f>
        <v>480</v>
      </c>
      <c r="AI13" s="44">
        <f>'ADMIN TIEMPOS'!$C$8</f>
        <v>540</v>
      </c>
      <c r="AJ13" s="44">
        <f>'ADMIN TIEMPOS'!$C$9</f>
        <v>600</v>
      </c>
      <c r="AK13" s="44">
        <f>'ADMIN TIEMPOS'!$C$10</f>
        <v>720</v>
      </c>
      <c r="AL13" s="44">
        <f>'ADMIN TIEMPOS'!$C$2</f>
        <v>60</v>
      </c>
      <c r="AM13" s="44">
        <f>'ADMIN TIEMPOS'!$C$3</f>
        <v>150</v>
      </c>
      <c r="AN13" s="44">
        <f>'ADMIN TIEMPOS'!$C$4</f>
        <v>240</v>
      </c>
      <c r="AO13" s="44">
        <f>'ADMIN TIEMPOS'!$C$5</f>
        <v>300</v>
      </c>
      <c r="AP13" s="44">
        <f>'ADMIN TIEMPOS'!$C$6</f>
        <v>390</v>
      </c>
      <c r="AQ13" s="44">
        <f>'ADMIN TIEMPOS'!$C$7</f>
        <v>480</v>
      </c>
      <c r="AR13" s="44">
        <f>'ADMIN TIEMPOS'!$C$8</f>
        <v>540</v>
      </c>
      <c r="AS13" s="44">
        <f>'ADMIN TIEMPOS'!$C$9</f>
        <v>600</v>
      </c>
      <c r="AT13" s="44">
        <f>'ADMIN TIEMPOS'!$C$10</f>
        <v>720</v>
      </c>
      <c r="AU13" s="44">
        <f>'ADMIN TIEMPOS'!$C$2</f>
        <v>60</v>
      </c>
      <c r="AV13" s="44">
        <f>'ADMIN TIEMPOS'!$C$3</f>
        <v>150</v>
      </c>
      <c r="AW13" s="44">
        <f>'ADMIN TIEMPOS'!$C$4</f>
        <v>240</v>
      </c>
      <c r="AX13" s="44">
        <f>'ADMIN TIEMPOS'!$C$5</f>
        <v>300</v>
      </c>
      <c r="AY13" s="44">
        <f>'ADMIN TIEMPOS'!$C$6</f>
        <v>390</v>
      </c>
      <c r="AZ13" s="44">
        <f>'ADMIN TIEMPOS'!$C$7</f>
        <v>480</v>
      </c>
      <c r="BA13" s="44">
        <f>'ADMIN TIEMPOS'!$C$8</f>
        <v>540</v>
      </c>
      <c r="BB13" s="44">
        <f>'ADMIN TIEMPOS'!$C$9</f>
        <v>600</v>
      </c>
      <c r="BC13" s="44">
        <f>'ADMIN TIEMPOS'!$C$10</f>
        <v>720</v>
      </c>
      <c r="BD13" s="44">
        <f>'ADMIN TIEMPOS'!$C$2</f>
        <v>60</v>
      </c>
      <c r="BE13" s="44">
        <f>'ADMIN TIEMPOS'!$C$3</f>
        <v>150</v>
      </c>
      <c r="BF13" s="44">
        <f>'ADMIN TIEMPOS'!$C$4</f>
        <v>240</v>
      </c>
      <c r="BG13" s="44">
        <f>'ADMIN TIEMPOS'!$C$5</f>
        <v>300</v>
      </c>
      <c r="BH13" s="44">
        <f>'ADMIN TIEMPOS'!$C$6</f>
        <v>390</v>
      </c>
      <c r="BI13" s="44">
        <f>'ADMIN TIEMPOS'!$C$7</f>
        <v>480</v>
      </c>
      <c r="BJ13" s="44">
        <f>'ADMIN TIEMPOS'!$C$8</f>
        <v>540</v>
      </c>
      <c r="BK13" s="44">
        <f>'ADMIN TIEMPOS'!$C$9</f>
        <v>600</v>
      </c>
      <c r="BL13" s="44">
        <f>'ADMIN TIEMPOS'!$C$10</f>
        <v>720</v>
      </c>
      <c r="BM13" s="464"/>
      <c r="BN13" s="465"/>
      <c r="BO13" s="465"/>
      <c r="BP13" s="465"/>
      <c r="BQ13" s="465"/>
      <c r="BR13" s="465"/>
      <c r="BS13" s="465"/>
      <c r="BT13" s="465"/>
      <c r="BU13" s="466"/>
      <c r="BV13" s="464"/>
      <c r="BW13" s="465"/>
      <c r="BX13" s="465"/>
      <c r="BY13" s="465"/>
      <c r="BZ13" s="465"/>
      <c r="CA13" s="465"/>
      <c r="CB13" s="465"/>
      <c r="CC13" s="465"/>
      <c r="CD13" s="466"/>
      <c r="CE13" s="44">
        <f>'ADMIN TIEMPOS'!$C$2</f>
        <v>60</v>
      </c>
      <c r="CF13" s="44">
        <f>'ADMIN TIEMPOS'!$C$3</f>
        <v>150</v>
      </c>
      <c r="CG13" s="44">
        <f>'ADMIN TIEMPOS'!$C$4</f>
        <v>240</v>
      </c>
      <c r="CH13" s="44">
        <f>'ADMIN TIEMPOS'!$C$5</f>
        <v>300</v>
      </c>
      <c r="CI13" s="44">
        <f>'ADMIN TIEMPOS'!$C$6</f>
        <v>390</v>
      </c>
      <c r="CJ13" s="44">
        <f>'ADMIN TIEMPOS'!$C$7</f>
        <v>480</v>
      </c>
      <c r="CK13" s="44">
        <f>'ADMIN TIEMPOS'!$C$8</f>
        <v>540</v>
      </c>
      <c r="CL13" s="44">
        <f>'ADMIN TIEMPOS'!$C$9</f>
        <v>600</v>
      </c>
      <c r="CM13" s="44">
        <f>'ADMIN TIEMPOS'!$C$10</f>
        <v>720</v>
      </c>
      <c r="CN13" s="44">
        <f>'ADMIN TIEMPOS'!$C$2</f>
        <v>60</v>
      </c>
      <c r="CO13" s="44">
        <f>'ADMIN TIEMPOS'!$C$3</f>
        <v>150</v>
      </c>
      <c r="CP13" s="44">
        <f>'ADMIN TIEMPOS'!$C$4</f>
        <v>240</v>
      </c>
      <c r="CQ13" s="44">
        <f>'ADMIN TIEMPOS'!$C$5</f>
        <v>300</v>
      </c>
      <c r="CR13" s="44">
        <f>'ADMIN TIEMPOS'!$C$6</f>
        <v>390</v>
      </c>
      <c r="CS13" s="44">
        <f>'ADMIN TIEMPOS'!$C$7</f>
        <v>480</v>
      </c>
      <c r="CT13" s="44">
        <f>'ADMIN TIEMPOS'!$C$8</f>
        <v>540</v>
      </c>
      <c r="CU13" s="44">
        <f>'ADMIN TIEMPOS'!$C$9</f>
        <v>600</v>
      </c>
      <c r="CV13" s="44">
        <f>'ADMIN TIEMPOS'!$C$10</f>
        <v>720</v>
      </c>
      <c r="CW13" s="44">
        <f>'ADMIN TIEMPOS'!$C$2</f>
        <v>60</v>
      </c>
      <c r="CX13" s="44">
        <f>'ADMIN TIEMPOS'!$C$3</f>
        <v>150</v>
      </c>
      <c r="CY13" s="44">
        <f>'ADMIN TIEMPOS'!$C$4</f>
        <v>240</v>
      </c>
      <c r="CZ13" s="44">
        <f>'ADMIN TIEMPOS'!$C$5</f>
        <v>300</v>
      </c>
      <c r="DA13" s="44">
        <f>'ADMIN TIEMPOS'!$C$6</f>
        <v>390</v>
      </c>
      <c r="DB13" s="44">
        <f>'ADMIN TIEMPOS'!$C$7</f>
        <v>480</v>
      </c>
      <c r="DC13" s="44">
        <f>'ADMIN TIEMPOS'!$C$8</f>
        <v>540</v>
      </c>
      <c r="DD13" s="44">
        <f>'ADMIN TIEMPOS'!$C$9</f>
        <v>600</v>
      </c>
      <c r="DE13" s="44">
        <f>'ADMIN TIEMPOS'!$C$10</f>
        <v>720</v>
      </c>
      <c r="DF13" s="44">
        <f>'ADMIN TIEMPOS'!$C$2</f>
        <v>60</v>
      </c>
      <c r="DG13" s="44">
        <f>'ADMIN TIEMPOS'!$C$3</f>
        <v>150</v>
      </c>
      <c r="DH13" s="44">
        <f>'ADMIN TIEMPOS'!$C$4</f>
        <v>240</v>
      </c>
      <c r="DI13" s="44">
        <f>'ADMIN TIEMPOS'!$C$5</f>
        <v>300</v>
      </c>
      <c r="DJ13" s="44">
        <f>'ADMIN TIEMPOS'!$C$6</f>
        <v>390</v>
      </c>
      <c r="DK13" s="44">
        <f>'ADMIN TIEMPOS'!$C$7</f>
        <v>480</v>
      </c>
      <c r="DL13" s="44">
        <f>'ADMIN TIEMPOS'!$C$8</f>
        <v>540</v>
      </c>
      <c r="DM13" s="44">
        <f>'ADMIN TIEMPOS'!$C$9</f>
        <v>600</v>
      </c>
      <c r="DN13" s="44">
        <f>'ADMIN TIEMPOS'!$C$10</f>
        <v>720</v>
      </c>
      <c r="DO13" s="44">
        <f>'ADMIN TIEMPOS'!$C$2</f>
        <v>60</v>
      </c>
      <c r="DP13" s="44">
        <f>'ADMIN TIEMPOS'!$C$3</f>
        <v>150</v>
      </c>
      <c r="DQ13" s="44">
        <f>'ADMIN TIEMPOS'!$C$4</f>
        <v>240</v>
      </c>
      <c r="DR13" s="44">
        <f>'ADMIN TIEMPOS'!$C$5</f>
        <v>300</v>
      </c>
      <c r="DS13" s="44">
        <f>'ADMIN TIEMPOS'!$C$6</f>
        <v>390</v>
      </c>
      <c r="DT13" s="44">
        <f>'ADMIN TIEMPOS'!$C$7</f>
        <v>480</v>
      </c>
      <c r="DU13" s="44">
        <f>'ADMIN TIEMPOS'!$C$8</f>
        <v>540</v>
      </c>
      <c r="DV13" s="44">
        <f>'ADMIN TIEMPOS'!$C$9</f>
        <v>600</v>
      </c>
      <c r="DW13" s="44">
        <f>'ADMIN TIEMPOS'!$C$10</f>
        <v>720</v>
      </c>
      <c r="DX13" s="473"/>
      <c r="DY13" s="474"/>
      <c r="DZ13" s="474"/>
      <c r="EA13" s="474"/>
      <c r="EB13" s="474"/>
      <c r="EC13" s="474"/>
      <c r="ED13" s="474"/>
      <c r="EE13" s="474"/>
      <c r="EF13" s="474"/>
      <c r="EG13" s="474"/>
      <c r="EH13" s="474"/>
      <c r="EI13" s="474"/>
      <c r="EJ13" s="474"/>
      <c r="EK13" s="474"/>
      <c r="EL13" s="474"/>
      <c r="EM13" s="474"/>
      <c r="EN13" s="474"/>
      <c r="EO13" s="474"/>
      <c r="EP13" s="474"/>
      <c r="EQ13" s="474"/>
      <c r="ER13" s="474"/>
      <c r="ES13" s="474"/>
      <c r="ET13" s="474"/>
      <c r="EU13" s="474"/>
      <c r="EV13" s="474"/>
      <c r="EW13" s="474"/>
      <c r="EX13" s="474"/>
      <c r="EY13" s="474"/>
      <c r="EZ13" s="474"/>
      <c r="FA13" s="474"/>
      <c r="FB13" s="474"/>
      <c r="FC13" s="474"/>
      <c r="FD13" s="474"/>
      <c r="FE13" s="474"/>
      <c r="FF13" s="474"/>
      <c r="FG13" s="474"/>
      <c r="FH13" s="474"/>
      <c r="FI13" s="474"/>
      <c r="FJ13" s="474"/>
      <c r="FK13" s="474"/>
      <c r="FL13" s="474"/>
      <c r="FM13" s="474"/>
      <c r="FN13" s="474"/>
      <c r="FO13" s="474"/>
      <c r="FP13" s="474"/>
      <c r="FQ13" s="474"/>
      <c r="FR13" s="474"/>
      <c r="FS13" s="474"/>
      <c r="FT13" s="474"/>
      <c r="FU13" s="474"/>
      <c r="FV13" s="474"/>
      <c r="FW13" s="474"/>
      <c r="FX13" s="474"/>
      <c r="FY13" s="474"/>
      <c r="FZ13" s="474"/>
      <c r="GA13" s="474"/>
      <c r="GB13" s="474"/>
      <c r="GC13" s="474"/>
      <c r="GD13" s="474"/>
      <c r="GE13" s="474"/>
      <c r="GF13" s="474"/>
      <c r="GG13" s="474"/>
      <c r="GH13" s="474"/>
      <c r="GI13" s="44">
        <f>GI7</f>
        <v>0</v>
      </c>
      <c r="GJ13" s="44">
        <f>GJ7</f>
        <v>0</v>
      </c>
      <c r="GK13" s="44">
        <f>GK7</f>
        <v>0</v>
      </c>
      <c r="GL13" s="51"/>
      <c r="GM13" s="79"/>
      <c r="GN13" s="219">
        <f>'ADMIN TIEMPOS'!L2</f>
        <v>5</v>
      </c>
      <c r="GO13" s="103">
        <f>'ADMIN TIEMPOS'!L3</f>
        <v>10</v>
      </c>
      <c r="GP13" s="21">
        <v>100</v>
      </c>
      <c r="GQ13" s="21">
        <f>'ADMIN TIEMPOS'!L4</f>
        <v>5</v>
      </c>
      <c r="GR13" s="154"/>
      <c r="GS13" s="154">
        <f>'ADMIN TIEMPOS'!L5</f>
        <v>10</v>
      </c>
      <c r="GT13" s="75"/>
      <c r="GU13" s="5"/>
    </row>
    <row r="14" spans="1:203" ht="27" customHeight="1" x14ac:dyDescent="0.3">
      <c r="A14" s="45" t="s">
        <v>243</v>
      </c>
      <c r="B14" s="506"/>
      <c r="C14" s="507"/>
      <c r="D14" s="507"/>
      <c r="E14" s="507"/>
      <c r="F14" s="507"/>
      <c r="G14" s="507"/>
      <c r="H14" s="507"/>
      <c r="I14" s="507"/>
      <c r="J14" s="507"/>
      <c r="K14" s="507"/>
      <c r="L14" s="507"/>
      <c r="M14" s="507"/>
      <c r="N14" s="507"/>
      <c r="O14" s="507"/>
      <c r="P14" s="507"/>
      <c r="Q14" s="507"/>
      <c r="R14" s="507"/>
      <c r="S14" s="507"/>
      <c r="T14" s="507"/>
      <c r="U14" s="507"/>
      <c r="V14" s="507"/>
      <c r="W14" s="507"/>
      <c r="X14" s="507"/>
      <c r="Y14" s="507"/>
      <c r="Z14" s="507"/>
      <c r="AA14" s="507"/>
      <c r="AB14" s="508"/>
      <c r="AC14" s="46">
        <f>COUNTIFS('MATRIZ TRAZA'!E8:E1048576,'ESTANDAR HORAS'!B24,'MATRIZ TRAZA'!G8:G1048576,'ESTANDAR HORAS'!C3,'MATRIZ TRAZA'!H8:H1048576,'ESTANDAR HORAS'!A29)</f>
        <v>0</v>
      </c>
      <c r="AD14" s="46">
        <f>COUNTIFS('MATRIZ TRAZA'!E8:E1048576,'ESTANDAR HORAS'!B24,'MATRIZ TRAZA'!G8:G1048576,'ESTANDAR HORAS'!D3,'MATRIZ TRAZA'!H8:H1048576,'ESTANDAR HORAS'!A29)</f>
        <v>0</v>
      </c>
      <c r="AE14" s="46">
        <f>COUNTIFS('MATRIZ TRAZA'!E8:E1048576,'ESTANDAR HORAS'!B24,'MATRIZ TRAZA'!G8:G1048576,'ESTANDAR HORAS'!E3,'MATRIZ TRAZA'!H8:H1048576,'ESTANDAR HORAS'!A29)</f>
        <v>0</v>
      </c>
      <c r="AF14" s="46">
        <f>COUNTIFS('MATRIZ TRAZA'!E8:E1048576,'ESTANDAR HORAS'!B24,'MATRIZ TRAZA'!G8:G1048576,'ESTANDAR HORAS'!F3,'MATRIZ TRAZA'!H8:H1048576,'ESTANDAR HORAS'!A29)</f>
        <v>0</v>
      </c>
      <c r="AG14" s="46">
        <f>COUNTIFS('MATRIZ TRAZA'!E8:E1048576,'ESTANDAR HORAS'!B24,'MATRIZ TRAZA'!G8:G1048576,'ESTANDAR HORAS'!G3,'MATRIZ TRAZA'!H8:H1048576,'ESTANDAR HORAS'!A29)</f>
        <v>0</v>
      </c>
      <c r="AH14" s="46">
        <f>COUNTIFS('MATRIZ TRAZA'!E8:E1048576,'ESTANDAR HORAS'!B24,'MATRIZ TRAZA'!G8:G1048576,'ESTANDAR HORAS'!H3,'MATRIZ TRAZA'!H8:H1048576,'ESTANDAR HORAS'!A29)</f>
        <v>0</v>
      </c>
      <c r="AI14" s="46">
        <f>COUNTIFS('MATRIZ TRAZA'!E8:E1048576,'ESTANDAR HORAS'!B24,'MATRIZ TRAZA'!G8:G1048576,'ESTANDAR HORAS'!I3,'MATRIZ TRAZA'!H8:H1048576,'ESTANDAR HORAS'!A29)</f>
        <v>0</v>
      </c>
      <c r="AJ14" s="46">
        <f>COUNTIFS('MATRIZ TRAZA'!E8:E1048576,'ESTANDAR HORAS'!B24,'MATRIZ TRAZA'!G8:G1048576,'ESTANDAR HORAS'!J3,'MATRIZ TRAZA'!H8:H1048576,'ESTANDAR HORAS'!A29)</f>
        <v>0</v>
      </c>
      <c r="AK14" s="46">
        <f>COUNTIFS('MATRIZ TRAZA'!E8:E1048576,'ESTANDAR HORAS'!B24,'MATRIZ TRAZA'!G8:G1048576,'ESTANDAR HORAS'!K3,'MATRIZ TRAZA'!H8:H1048576,'ESTANDAR HORAS'!A29)</f>
        <v>0</v>
      </c>
      <c r="AL14" s="46">
        <f>COUNTIFS('MATRIZ TRAZA'!E8:E1048576,'ESTANDAR HORAS'!B7,'MATRIZ TRAZA'!G8:G1048576,'ESTANDAR HORAS'!C3,'MATRIZ TRAZA'!H8:H1048576,'ESTANDAR HORAS'!A29)</f>
        <v>0</v>
      </c>
      <c r="AM14" s="46">
        <f>COUNTIFS('MATRIZ TRAZA'!E8:E1048576,'ESTANDAR HORAS'!B7,'MATRIZ TRAZA'!G8:G1048576,'ESTANDAR HORAS'!D3,'MATRIZ TRAZA'!H8:H1048576,'ESTANDAR HORAS'!A29)</f>
        <v>0</v>
      </c>
      <c r="AN14" s="46">
        <f>COUNTIFS('MATRIZ TRAZA'!E8:E1048576,'ESTANDAR HORAS'!B7,'MATRIZ TRAZA'!G8:G1048576,'ESTANDAR HORAS'!E3,'MATRIZ TRAZA'!H8:H1048576,'ESTANDAR HORAS'!A29)</f>
        <v>0</v>
      </c>
      <c r="AO14" s="46">
        <f>COUNTIFS('MATRIZ TRAZA'!E8:E1048576,'ESTANDAR HORAS'!B7,'MATRIZ TRAZA'!G8:G1048576,'ESTANDAR HORAS'!F3,'MATRIZ TRAZA'!H8:H1048576,'ESTANDAR HORAS'!A29)</f>
        <v>0</v>
      </c>
      <c r="AP14" s="46">
        <f>COUNTIFS('MATRIZ TRAZA'!E8:E1048576,'ESTANDAR HORAS'!B7,'MATRIZ TRAZA'!G8:G1048576,'ESTANDAR HORAS'!G3,'MATRIZ TRAZA'!H8:H1048576,'ESTANDAR HORAS'!A29)</f>
        <v>0</v>
      </c>
      <c r="AQ14" s="46">
        <f>COUNTIFS('MATRIZ TRAZA'!E8:E1048576,'ESTANDAR HORAS'!B7,'MATRIZ TRAZA'!G8:G1048576,'ESTANDAR HORAS'!H3,'MATRIZ TRAZA'!H8:H1048576,'ESTANDAR HORAS'!A29)</f>
        <v>0</v>
      </c>
      <c r="AR14" s="46">
        <f>COUNTIFS('MATRIZ TRAZA'!E8:E1048576,'ESTANDAR HORAS'!B7,'MATRIZ TRAZA'!G8:G1048576,'ESTANDAR HORAS'!I3,'MATRIZ TRAZA'!H8:H1048576,'ESTANDAR HORAS'!A29)</f>
        <v>0</v>
      </c>
      <c r="AS14" s="46">
        <f>COUNTIFS('MATRIZ TRAZA'!E8:E1048576,'ESTANDAR HORAS'!B7,'MATRIZ TRAZA'!G8:G1048576,'ESTANDAR HORAS'!J3,'MATRIZ TRAZA'!H8:H1048576,'ESTANDAR HORAS'!A29)</f>
        <v>0</v>
      </c>
      <c r="AT14" s="46">
        <f>COUNTIFS('MATRIZ TRAZA'!E8:E1048576,'ESTANDAR HORAS'!B7,'MATRIZ TRAZA'!G8:G1048576,'ESTANDAR HORAS'!K3,'MATRIZ TRAZA'!H8:H1048576,'ESTANDAR HORAS'!A29)</f>
        <v>0</v>
      </c>
      <c r="AU14" s="46">
        <f>COUNTIFS('MATRIZ TRAZA'!E8:E1048576,'ESTANDAR HORAS'!B27,'MATRIZ TRAZA'!G8:G1048576,'ESTANDAR HORAS'!C3,'MATRIZ TRAZA'!H8:H1048576,'ESTANDAR HORAS'!A30)</f>
        <v>418</v>
      </c>
      <c r="AV14" s="46">
        <f>COUNTIFS('MATRIZ TRAZA'!E8:E1048576,'ESTANDAR HORAS'!B27,'MATRIZ TRAZA'!G8:G1048576,'ESTANDAR HORAS'!D3,'MATRIZ TRAZA'!H8:H1048576,'ESTANDAR HORAS'!A30)</f>
        <v>0</v>
      </c>
      <c r="AW14" s="46">
        <f>COUNTIFS('MATRIZ TRAZA'!E8:E1048576,'ESTANDAR HORAS'!B27,'MATRIZ TRAZA'!G8:G1048576,'ESTANDAR HORAS'!E3,'MATRIZ TRAZA'!H8:H1048576,'ESTANDAR HORAS'!A30)</f>
        <v>0</v>
      </c>
      <c r="AX14" s="46">
        <f>COUNTIFS('MATRIZ TRAZA'!E8:E1048576,'ESTANDAR HORAS'!B27,'MATRIZ TRAZA'!G8:G1048576,'ESTANDAR HORAS'!F3,'MATRIZ TRAZA'!H8:H1048576,'ESTANDAR HORAS'!A30)</f>
        <v>0</v>
      </c>
      <c r="AY14" s="46">
        <f>COUNTIFS('MATRIZ TRAZA'!E8:E1048576,'ESTANDAR HORAS'!B27,'MATRIZ TRAZA'!G8:G1048576,'ESTANDAR HORAS'!G3,'MATRIZ TRAZA'!H8:H1048576,'ESTANDAR HORAS'!A30)</f>
        <v>0</v>
      </c>
      <c r="AZ14" s="46">
        <f>COUNTIFS('MATRIZ TRAZA'!E8:E1048576,'ESTANDAR HORAS'!B27,'MATRIZ TRAZA'!G8:G1048576,'ESTANDAR HORAS'!H3,'MATRIZ TRAZA'!H8:H1048576,'ESTANDAR HORAS'!A30)</f>
        <v>0</v>
      </c>
      <c r="BA14" s="46">
        <f>COUNTIFS('MATRIZ TRAZA'!E8:E1048576,'ESTANDAR HORAS'!B27,'MATRIZ TRAZA'!G8:G1048576,'ESTANDAR HORAS'!I3,'MATRIZ TRAZA'!H8:H1048576,'ESTANDAR HORAS'!A30)</f>
        <v>0</v>
      </c>
      <c r="BB14" s="46">
        <f>COUNTIFS('MATRIZ TRAZA'!E8:E1048576,'ESTANDAR HORAS'!B27,'MATRIZ TRAZA'!G8:G1048576,'ESTANDAR HORAS'!J3,'MATRIZ TRAZA'!H8:H1048576,'ESTANDAR HORAS'!A30)</f>
        <v>0</v>
      </c>
      <c r="BC14" s="46">
        <f>COUNTIFS('MATRIZ TRAZA'!E8:E1048576,'ESTANDAR HORAS'!B27,'MATRIZ TRAZA'!G8:G1048576,'ESTANDAR HORAS'!K3,'MATRIZ TRAZA'!H8:H1048576,'ESTANDAR HORAS'!A30)</f>
        <v>0</v>
      </c>
      <c r="BD14" s="46">
        <f>COUNTIFS('MATRIZ TRAZA'!E8:E1048576,'ESTANDAR HORAS'!B28,'MATRIZ TRAZA'!G8:G1048576,'ESTANDAR HORAS'!C3,'MATRIZ TRAZA'!H8:H1048576,'ESTANDAR HORAS'!A29)</f>
        <v>0</v>
      </c>
      <c r="BE14" s="46">
        <f>COUNTIFS('MATRIZ TRAZA'!E8:E1048576,'ESTANDAR HORAS'!B28,'MATRIZ TRAZA'!G8:G1048576,'ESTANDAR HORAS'!D3,'MATRIZ TRAZA'!H8:H1048576,'ESTANDAR HORAS'!A29)</f>
        <v>0</v>
      </c>
      <c r="BF14" s="46">
        <f>COUNTIFS('MATRIZ TRAZA'!E8:E1048576,'ESTANDAR HORAS'!B28,'MATRIZ TRAZA'!G8:G1048576,'ESTANDAR HORAS'!E3,'MATRIZ TRAZA'!H8:H1048576,'ESTANDAR HORAS'!A29)</f>
        <v>0</v>
      </c>
      <c r="BG14" s="46">
        <f>COUNTIFS('MATRIZ TRAZA'!E8:E1048576,'ESTANDAR HORAS'!B28,'MATRIZ TRAZA'!G8:G1048576,'ESTANDAR HORAS'!F3,'MATRIZ TRAZA'!H8:H1048576,'ESTANDAR HORAS'!A29)</f>
        <v>0</v>
      </c>
      <c r="BH14" s="46">
        <f>COUNTIFS('MATRIZ TRAZA'!E8:E1048576,'ESTANDAR HORAS'!B28,'MATRIZ TRAZA'!G8:G1048576,'ESTANDAR HORAS'!G3,'MATRIZ TRAZA'!H8:H1048576,'ESTANDAR HORAS'!A29)</f>
        <v>0</v>
      </c>
      <c r="BI14" s="46">
        <f>COUNTIFS('MATRIZ TRAZA'!E8:E1048576,'ESTANDAR HORAS'!B28,'MATRIZ TRAZA'!G8:G1048576,'ESTANDAR HORAS'!H3,'MATRIZ TRAZA'!H8:H1048576,'ESTANDAR HORAS'!A29)</f>
        <v>0</v>
      </c>
      <c r="BJ14" s="46">
        <f>COUNTIFS('MATRIZ TRAZA'!E8:E1048576,'ESTANDAR HORAS'!B28,'MATRIZ TRAZA'!G8:G1048576,'ESTANDAR HORAS'!I3,'MATRIZ TRAZA'!H8:H1048576,'ESTANDAR HORAS'!A29)</f>
        <v>0</v>
      </c>
      <c r="BK14" s="46">
        <f>COUNTIFS('MATRIZ TRAZA'!E8:E1048576,'ESTANDAR HORAS'!B28,'MATRIZ TRAZA'!G8:G1048576,'ESTANDAR HORAS'!J3,'MATRIZ TRAZA'!H8:H1048576,'ESTANDAR HORAS'!A29)</f>
        <v>0</v>
      </c>
      <c r="BL14" s="46">
        <f>COUNTIFS('MATRIZ TRAZA'!E8:E1048576,'ESTANDAR HORAS'!B28,'MATRIZ TRAZA'!G8:G1048576,'ESTANDAR HORAS'!K3,'MATRIZ TRAZA'!H8:H1048576,'ESTANDAR HORAS'!A29)</f>
        <v>0</v>
      </c>
      <c r="BM14" s="467"/>
      <c r="BN14" s="468"/>
      <c r="BO14" s="468"/>
      <c r="BP14" s="468"/>
      <c r="BQ14" s="468"/>
      <c r="BR14" s="468"/>
      <c r="BS14" s="468"/>
      <c r="BT14" s="468"/>
      <c r="BU14" s="469"/>
      <c r="BV14" s="467"/>
      <c r="BW14" s="468"/>
      <c r="BX14" s="468"/>
      <c r="BY14" s="468"/>
      <c r="BZ14" s="468"/>
      <c r="CA14" s="468"/>
      <c r="CB14" s="468"/>
      <c r="CC14" s="468"/>
      <c r="CD14" s="469"/>
      <c r="CE14" s="92">
        <f>COUNTIFS('MATRIZ TRAZA'!E6:E1048576,'ESTANDAR HORAS'!B25,'MATRIZ TRAZA'!G6:G1048576,'ESTANDAR HORAS'!C3,'MATRIZ TRAZA'!H6:H1048576,'ESTANDAR HORAS'!A29)</f>
        <v>0</v>
      </c>
      <c r="CF14" s="92">
        <f>COUNTIFS('MATRIZ TRAZA'!E6:E1048576,'ESTANDAR HORAS'!B25,'MATRIZ TRAZA'!G6:G1048576,'ESTANDAR HORAS'!D3,'MATRIZ TRAZA'!H6:H1048576,'ESTANDAR HORAS'!A29)</f>
        <v>0</v>
      </c>
      <c r="CG14" s="92">
        <f>COUNTIFS('MATRIZ TRAZA'!E6:E1048576,'ESTANDAR HORAS'!B25,'MATRIZ TRAZA'!G6:G1048576,'ESTANDAR HORAS'!E3,'MATRIZ TRAZA'!H6:H1048576,'ESTANDAR HORAS'!A29)</f>
        <v>0</v>
      </c>
      <c r="CH14" s="92">
        <f>COUNTIFS('MATRIZ TRAZA'!E6:E1048576,'ESTANDAR HORAS'!B25,'MATRIZ TRAZA'!G6:G1048576,'ESTANDAR HORAS'!F3,'MATRIZ TRAZA'!H6:H1048576,'ESTANDAR HORAS'!A29)</f>
        <v>0</v>
      </c>
      <c r="CI14" s="92">
        <f>COUNTIFS('MATRIZ TRAZA'!E6:E1048576,'ESTANDAR HORAS'!B25,'MATRIZ TRAZA'!G6:G1048576,'ESTANDAR HORAS'!G3,'MATRIZ TRAZA'!H6:H1048576,'ESTANDAR HORAS'!A29)</f>
        <v>0</v>
      </c>
      <c r="CJ14" s="92">
        <f>COUNTIFS('MATRIZ TRAZA'!E6:E1048576,'ESTANDAR HORAS'!B25,'MATRIZ TRAZA'!G6:G1048576,'ESTANDAR HORAS'!H3,'MATRIZ TRAZA'!H6:H1048576,'ESTANDAR HORAS'!A29)</f>
        <v>0</v>
      </c>
      <c r="CK14" s="92">
        <f>COUNTIFS('MATRIZ TRAZA'!E6:E1048576,'ESTANDAR HORAS'!B25,'MATRIZ TRAZA'!G6:G1048576,'ESTANDAR HORAS'!I3,'MATRIZ TRAZA'!H6:H1048576,'ESTANDAR HORAS'!A29)</f>
        <v>0</v>
      </c>
      <c r="CL14" s="92">
        <f>COUNTIFS('MATRIZ TRAZA'!E6:E1048576,'ESTANDAR HORAS'!B25,'MATRIZ TRAZA'!G6:G1048576,'ESTANDAR HORAS'!J3,'MATRIZ TRAZA'!H6:H1048576,'ESTANDAR HORAS'!A29)</f>
        <v>0</v>
      </c>
      <c r="CM14" s="46">
        <f>COUNTIFS('MATRIZ TRAZA'!E6:E1048576,'ESTANDAR HORAS'!B25,'MATRIZ TRAZA'!G6:G1048576,'ESTANDAR HORAS'!K3,'MATRIZ TRAZA'!H6:H1048576,'ESTANDAR HORAS'!A29)</f>
        <v>0</v>
      </c>
      <c r="CN14" s="46">
        <f>COUNTIFS('MATRIZ TRAZA'!E6:E1048576,'ESTANDAR HORAS'!B9,'MATRIZ TRAZA'!G6:G1048576,'ESTANDAR HORAS'!C3,'MATRIZ TRAZA'!H6:H1048576,'ESTANDAR HORAS'!A29)</f>
        <v>0</v>
      </c>
      <c r="CO14" s="46">
        <f>COUNTIFS('MATRIZ TRAZA'!E6:E1048576,'ESTANDAR HORAS'!B9,'MATRIZ TRAZA'!G6:G1048576,'ESTANDAR HORAS'!D3,'MATRIZ TRAZA'!H6:H1048576,'ESTANDAR HORAS'!A29)</f>
        <v>0</v>
      </c>
      <c r="CP14" s="46">
        <f>COUNTIFS('MATRIZ TRAZA'!E6:E1048576,'ESTANDAR HORAS'!B9,'MATRIZ TRAZA'!G6:G1048576,'ESTANDAR HORAS'!E3,'MATRIZ TRAZA'!H6:H1048576,'ESTANDAR HORAS'!A29)</f>
        <v>0</v>
      </c>
      <c r="CQ14" s="46">
        <f>COUNTIFS('MATRIZ TRAZA'!E6:E1048576,'ESTANDAR HORAS'!B9,'MATRIZ TRAZA'!G6:G1048576,'ESTANDAR HORAS'!F3,'MATRIZ TRAZA'!H6:H1048576,'ESTANDAR HORAS'!A29)</f>
        <v>0</v>
      </c>
      <c r="CR14" s="46">
        <f>COUNTIFS('MATRIZ TRAZA'!E6:E1048576,'ESTANDAR HORAS'!B9,'MATRIZ TRAZA'!G6:G1048576,'ESTANDAR HORAS'!G3,'MATRIZ TRAZA'!H6:H1048576,'ESTANDAR HORAS'!A29)</f>
        <v>0</v>
      </c>
      <c r="CS14" s="46">
        <f>COUNTIFS('MATRIZ TRAZA'!E6:E1048576,'ESTANDAR HORAS'!B9,'MATRIZ TRAZA'!G6:G1048576,'ESTANDAR HORAS'!H3,'MATRIZ TRAZA'!H6:H1048576,'ESTANDAR HORAS'!A29)</f>
        <v>0</v>
      </c>
      <c r="CT14" s="46">
        <f>COUNTIFS('MATRIZ TRAZA'!E6:E1048576,'ESTANDAR HORAS'!B9,'MATRIZ TRAZA'!G6:G1048576,'ESTANDAR HORAS'!I3,'MATRIZ TRAZA'!H6:H1048576,'ESTANDAR HORAS'!A29)</f>
        <v>0</v>
      </c>
      <c r="CU14" s="46">
        <f>COUNTIFS('MATRIZ TRAZA'!E6:E1048576,'ESTANDAR HORAS'!B9,'MATRIZ TRAZA'!G6:G1048576,'ESTANDAR HORAS'!J3,'MATRIZ TRAZA'!H6:H1048576,'ESTANDAR HORAS'!A29)</f>
        <v>0</v>
      </c>
      <c r="CV14" s="46">
        <f>COUNTIFS('MATRIZ TRAZA'!E6:E1048576,'ESTANDAR HORAS'!B9,'MATRIZ TRAZA'!G6:G1048576,'ESTANDAR HORAS'!K3,'MATRIZ TRAZA'!H6:H1048576,'ESTANDAR HORAS'!A29)</f>
        <v>0</v>
      </c>
      <c r="CW14" s="46">
        <f>COUNTIFS('MATRIZ TRAZA'!E8:E1048576,'ESTANDAR HORAS'!B13,'MATRIZ TRAZA'!G8:G1048576,'ESTANDAR HORAS'!C3,'MATRIZ TRAZA'!H8:H1048576,'ESTANDAR HORAS'!A29)</f>
        <v>0</v>
      </c>
      <c r="CX14" s="46">
        <f>COUNTIFS('MATRIZ TRAZA'!E8:E1048576,'ESTANDAR HORAS'!B13,'MATRIZ TRAZA'!G8:G1048576,'ESTANDAR HORAS'!D3,'MATRIZ TRAZA'!H8:H1048576,'ESTANDAR HORAS'!A29)</f>
        <v>0</v>
      </c>
      <c r="CY14" s="46">
        <f>COUNTIFS('MATRIZ TRAZA'!E8:E1048576,'ESTANDAR HORAS'!B13,'MATRIZ TRAZA'!G8:G1048576,'ESTANDAR HORAS'!E3,'MATRIZ TRAZA'!H8:H1048576,'ESTANDAR HORAS'!A29)</f>
        <v>0</v>
      </c>
      <c r="CZ14" s="46">
        <f>COUNTIFS('MATRIZ TRAZA'!E8:E1048576,'ESTANDAR HORAS'!B13,'MATRIZ TRAZA'!G8:G1048576,'ESTANDAR HORAS'!F3,'MATRIZ TRAZA'!H8:H1048576,'ESTANDAR HORAS'!A29)</f>
        <v>0</v>
      </c>
      <c r="DA14" s="46">
        <f>COUNTIFS('MATRIZ TRAZA'!E8:E1048576,'ESTANDAR HORAS'!B13,'MATRIZ TRAZA'!G8:G1048576,'ESTANDAR HORAS'!G3,'MATRIZ TRAZA'!H8:H1048576,'ESTANDAR HORAS'!A29)</f>
        <v>0</v>
      </c>
      <c r="DB14" s="46">
        <f>COUNTIFS('MATRIZ TRAZA'!E8:E1048576,'ESTANDAR HORAS'!B13,'MATRIZ TRAZA'!G8:G1048576,'ESTANDAR HORAS'!H3,'MATRIZ TRAZA'!H8:H1048576,'ESTANDAR HORAS'!A29)</f>
        <v>0</v>
      </c>
      <c r="DC14" s="46">
        <f>COUNTIFS('MATRIZ TRAZA'!E8:E1048576,'ESTANDAR HORAS'!B13,'MATRIZ TRAZA'!G8:G1048576,'ESTANDAR HORAS'!I3,'MATRIZ TRAZA'!H8:H1048576,'ESTANDAR HORAS'!A29)</f>
        <v>0</v>
      </c>
      <c r="DD14" s="46">
        <f>COUNTIFS('MATRIZ TRAZA'!E8:E1048576,'ESTANDAR HORAS'!B13,'MATRIZ TRAZA'!G8:G1048576,'ESTANDAR HORAS'!J3,'MATRIZ TRAZA'!H8:H1048576,'ESTANDAR HORAS'!A29)</f>
        <v>0</v>
      </c>
      <c r="DE14" s="46">
        <f>COUNTIFS('MATRIZ TRAZA'!E8:E1048576,'ESTANDAR HORAS'!B13,'MATRIZ TRAZA'!G8:G1048576,'ESTANDAR HORAS'!K3,'MATRIZ TRAZA'!H8:H1048576,'ESTANDAR HORAS'!A29)</f>
        <v>0</v>
      </c>
      <c r="DF14" s="46">
        <f>COUNTIFS('MATRIZ TRAZA'!E6:E1048576,'ESTANDAR HORAS'!B11,'MATRIZ TRAZA'!G6:G1048576,'ESTANDAR HORAS'!C3,'MATRIZ TRAZA'!H6:H1048576,'ESTANDAR HORAS'!A29)</f>
        <v>0</v>
      </c>
      <c r="DG14" s="46">
        <f>COUNTIFS('MATRIZ TRAZA'!E6:E1048576,'ESTANDAR HORAS'!B11,'MATRIZ TRAZA'!G6:G1048576,'ESTANDAR HORAS'!D3,'MATRIZ TRAZA'!H6:H1048576,'ESTANDAR HORAS'!A29)</f>
        <v>0</v>
      </c>
      <c r="DH14" s="46">
        <f>COUNTIFS('MATRIZ TRAZA'!E6:E1048576,'ESTANDAR HORAS'!B11,'MATRIZ TRAZA'!G6:G1048576,'ESTANDAR HORAS'!E3,'MATRIZ TRAZA'!H6:H1048576,'ESTANDAR HORAS'!A29)</f>
        <v>0</v>
      </c>
      <c r="DI14" s="46">
        <f>COUNTIFS('MATRIZ TRAZA'!E6:E1048576,'ESTANDAR HORAS'!B11,'MATRIZ TRAZA'!G6:G1048576,'ESTANDAR HORAS'!F3,'MATRIZ TRAZA'!H6:H1048576,'ESTANDAR HORAS'!A29)</f>
        <v>0</v>
      </c>
      <c r="DJ14" s="46">
        <f>COUNTIFS('MATRIZ TRAZA'!E6:E1048576,'ESTANDAR HORAS'!B11,'MATRIZ TRAZA'!G6:G1048576,'ESTANDAR HORAS'!G3,'MATRIZ TRAZA'!H6:H1048576,'ESTANDAR HORAS'!A29)</f>
        <v>0</v>
      </c>
      <c r="DK14" s="46">
        <f>COUNTIFS('MATRIZ TRAZA'!E6:E1048576,'ESTANDAR HORAS'!B11,'MATRIZ TRAZA'!G6:G1048576,'ESTANDAR HORAS'!H3,'MATRIZ TRAZA'!H6:H1048576,'ESTANDAR HORAS'!A29)</f>
        <v>0</v>
      </c>
      <c r="DL14" s="46">
        <f>COUNTIFS('MATRIZ TRAZA'!E6:E1048576,'ESTANDAR HORAS'!B11,'MATRIZ TRAZA'!G6:G1048576,'ESTANDAR HORAS'!I3,'MATRIZ TRAZA'!H6:H1048576,'ESTANDAR HORAS'!A29)</f>
        <v>0</v>
      </c>
      <c r="DM14" s="46">
        <f>COUNTIFS('MATRIZ TRAZA'!E6:E1048576,'ESTANDAR HORAS'!B11,'MATRIZ TRAZA'!G6:G1048576,'ESTANDAR HORAS'!J3,'MATRIZ TRAZA'!H6:H1048576,'ESTANDAR HORAS'!A29)</f>
        <v>0</v>
      </c>
      <c r="DN14" s="46">
        <f>COUNTIFS('MATRIZ TRAZA'!E6:E1048576,'ESTANDAR HORAS'!B11,'MATRIZ TRAZA'!G6:G1048576,'ESTANDAR HORAS'!K3,'MATRIZ TRAZA'!H6:H1048576,'ESTANDAR HORAS'!A29)</f>
        <v>0</v>
      </c>
      <c r="DO14" s="46">
        <f>COUNTIFS('MATRIZ TRAZA'!E6:E1048576,'ESTANDAR HORAS'!B10,'MATRIZ TRAZA'!G6:G1048576,'ESTANDAR HORAS'!C3,'MATRIZ TRAZA'!H6:H1048576,'ESTANDAR HORAS'!A29)</f>
        <v>0</v>
      </c>
      <c r="DP14" s="46"/>
      <c r="DQ14" s="46"/>
      <c r="DR14" s="46"/>
      <c r="DS14" s="46"/>
      <c r="DT14" s="46"/>
      <c r="DU14" s="46"/>
      <c r="DV14" s="46">
        <f>COUNTIFS('MATRIZ TRAZA'!E6:E1048576,'ESTANDAR HORAS'!B10,'MATRIZ TRAZA'!G6:G1048576,'ESTANDAR HORAS'!F3,'MATRIZ TRAZA'!H6:H1048576,'ESTANDAR HORAS'!A29)</f>
        <v>0</v>
      </c>
      <c r="DW14" s="46">
        <f>COUNTIFS('MATRIZ TRAZA'!E6:E1048576,'ESTANDAR HORAS'!B10,'MATRIZ TRAZA'!G6:G1048576,'ESTANDAR HORAS'!I3,'MATRIZ TRAZA'!H6:H1048576,'ESTANDAR HORAS'!A29)</f>
        <v>0</v>
      </c>
      <c r="DX14" s="475"/>
      <c r="DY14" s="476"/>
      <c r="DZ14" s="476"/>
      <c r="EA14" s="476"/>
      <c r="EB14" s="476"/>
      <c r="EC14" s="476"/>
      <c r="ED14" s="476"/>
      <c r="EE14" s="476"/>
      <c r="EF14" s="476"/>
      <c r="EG14" s="476"/>
      <c r="EH14" s="476"/>
      <c r="EI14" s="476"/>
      <c r="EJ14" s="476"/>
      <c r="EK14" s="476"/>
      <c r="EL14" s="476"/>
      <c r="EM14" s="476"/>
      <c r="EN14" s="476"/>
      <c r="EO14" s="476"/>
      <c r="EP14" s="476"/>
      <c r="EQ14" s="476"/>
      <c r="ER14" s="476"/>
      <c r="ES14" s="476"/>
      <c r="ET14" s="476"/>
      <c r="EU14" s="476"/>
      <c r="EV14" s="476"/>
      <c r="EW14" s="476"/>
      <c r="EX14" s="476"/>
      <c r="EY14" s="476"/>
      <c r="EZ14" s="476"/>
      <c r="FA14" s="476"/>
      <c r="FB14" s="476"/>
      <c r="FC14" s="476"/>
      <c r="FD14" s="476"/>
      <c r="FE14" s="476"/>
      <c r="FF14" s="476"/>
      <c r="FG14" s="476"/>
      <c r="FH14" s="476"/>
      <c r="FI14" s="476"/>
      <c r="FJ14" s="476"/>
      <c r="FK14" s="476"/>
      <c r="FL14" s="476"/>
      <c r="FM14" s="476"/>
      <c r="FN14" s="476"/>
      <c r="FO14" s="476"/>
      <c r="FP14" s="476"/>
      <c r="FQ14" s="476"/>
      <c r="FR14" s="476"/>
      <c r="FS14" s="476"/>
      <c r="FT14" s="476"/>
      <c r="FU14" s="476"/>
      <c r="FV14" s="476"/>
      <c r="FW14" s="476"/>
      <c r="FX14" s="476"/>
      <c r="FY14" s="476"/>
      <c r="FZ14" s="476"/>
      <c r="GA14" s="476"/>
      <c r="GB14" s="476"/>
      <c r="GC14" s="476"/>
      <c r="GD14" s="476"/>
      <c r="GE14" s="476"/>
      <c r="GF14" s="476"/>
      <c r="GG14" s="476"/>
      <c r="GH14" s="476"/>
      <c r="GI14" s="104"/>
      <c r="GJ14" s="104"/>
      <c r="GK14" s="104"/>
      <c r="GL14" s="47">
        <f>SUM(B14:FP14)</f>
        <v>418</v>
      </c>
      <c r="GM14" s="5"/>
      <c r="GN14" s="163">
        <f>$GL16*GN13%</f>
        <v>20.900000000000002</v>
      </c>
      <c r="GO14" s="163">
        <f>$GL16*GO13%</f>
        <v>41.800000000000004</v>
      </c>
      <c r="GP14" s="163">
        <f>($GL16+$GL17)*GP13%</f>
        <v>418</v>
      </c>
      <c r="GQ14" s="163">
        <f>$GL16*GQ13%</f>
        <v>20.900000000000002</v>
      </c>
      <c r="GR14" s="163"/>
      <c r="GS14" s="163">
        <f>($GL16+$GL17)*GS13%</f>
        <v>41.800000000000004</v>
      </c>
      <c r="GT14" s="57">
        <f>SUM(GN14:GS14)</f>
        <v>543.4</v>
      </c>
      <c r="GU14" s="5"/>
    </row>
    <row r="15" spans="1:203" ht="27" customHeight="1" x14ac:dyDescent="0.3">
      <c r="A15" s="45" t="s">
        <v>244</v>
      </c>
      <c r="B15" s="502"/>
      <c r="C15" s="503"/>
      <c r="D15" s="503"/>
      <c r="E15" s="503"/>
      <c r="F15" s="503"/>
      <c r="G15" s="503"/>
      <c r="H15" s="503"/>
      <c r="I15" s="503"/>
      <c r="J15" s="503"/>
      <c r="K15" s="503"/>
      <c r="L15" s="503"/>
      <c r="M15" s="503"/>
      <c r="N15" s="503"/>
      <c r="O15" s="503"/>
      <c r="P15" s="503"/>
      <c r="Q15" s="503"/>
      <c r="R15" s="503"/>
      <c r="S15" s="503"/>
      <c r="T15" s="503"/>
      <c r="U15" s="503"/>
      <c r="V15" s="503"/>
      <c r="W15" s="503"/>
      <c r="X15" s="503"/>
      <c r="Y15" s="503"/>
      <c r="Z15" s="503"/>
      <c r="AA15" s="503"/>
      <c r="AB15" s="503"/>
      <c r="AC15" s="503"/>
      <c r="AD15" s="503"/>
      <c r="AE15" s="503"/>
      <c r="AF15" s="503"/>
      <c r="AG15" s="503"/>
      <c r="AH15" s="503"/>
      <c r="AI15" s="503"/>
      <c r="AJ15" s="503"/>
      <c r="AK15" s="503"/>
      <c r="AL15" s="503"/>
      <c r="AM15" s="503"/>
      <c r="AN15" s="503"/>
      <c r="AO15" s="503"/>
      <c r="AP15" s="503"/>
      <c r="AQ15" s="503"/>
      <c r="AR15" s="503"/>
      <c r="AS15" s="503"/>
      <c r="AT15" s="504"/>
      <c r="AU15" s="46">
        <f>COUNTIFS('MATRIZ TRAZA'!E8:E1048576,'ESTANDAR HORAS'!B27,'MATRIZ TRAZA'!G8:G1048576,'ESTANDAR HORAS'!C3,'MATRIZ TRAZA'!H8:H1048576,'ESTANDAR HORAS'!A29)</f>
        <v>0</v>
      </c>
      <c r="AV15" s="46">
        <f>COUNTIFS('MATRIZ TRAZA'!E8:E1048576,'ESTANDAR HORAS'!B27,'MATRIZ TRAZA'!G8:G1048576,'ESTANDAR HORAS'!D3,'MATRIZ TRAZA'!H8:H1048576,'ESTANDAR HORAS'!A29)</f>
        <v>0</v>
      </c>
      <c r="AW15" s="46">
        <f>COUNTIFS('MATRIZ TRAZA'!E8:E1048576,'ESTANDAR HORAS'!B27,'MATRIZ TRAZA'!G8:G1048576,'ESTANDAR HORAS'!E3,'MATRIZ TRAZA'!H8:H1048576,'ESTANDAR HORAS'!A29)</f>
        <v>0</v>
      </c>
      <c r="AX15" s="46">
        <f>COUNTIFS('MATRIZ TRAZA'!E8:E1048576,'ESTANDAR HORAS'!B27,'MATRIZ TRAZA'!G8:G1048576,'ESTANDAR HORAS'!F3,'MATRIZ TRAZA'!H8:H1048576,'ESTANDAR HORAS'!A29)</f>
        <v>0</v>
      </c>
      <c r="AY15" s="46">
        <f>COUNTIFS('MATRIZ TRAZA'!E8:E1048576,'ESTANDAR HORAS'!B27,'MATRIZ TRAZA'!G8:G1048576,'ESTANDAR HORAS'!G3,'MATRIZ TRAZA'!H8:H1048576,'ESTANDAR HORAS'!A29)</f>
        <v>0</v>
      </c>
      <c r="AZ15" s="46">
        <f>COUNTIFS('MATRIZ TRAZA'!E8:E1048576,'ESTANDAR HORAS'!B27,'MATRIZ TRAZA'!G8:G1048576,'ESTANDAR HORAS'!H3,'MATRIZ TRAZA'!H8:H1048576,'ESTANDAR HORAS'!A29)</f>
        <v>0</v>
      </c>
      <c r="BA15" s="46">
        <f>COUNTIFS('MATRIZ TRAZA'!E8:E1048576,'ESTANDAR HORAS'!B27,'MATRIZ TRAZA'!G8:G1048576,'ESTANDAR HORAS'!I3,'MATRIZ TRAZA'!H8:H1048576,'ESTANDAR HORAS'!A29)</f>
        <v>0</v>
      </c>
      <c r="BB15" s="46">
        <f>COUNTIFS('MATRIZ TRAZA'!E8:E1048576,'ESTANDAR HORAS'!B27,'MATRIZ TRAZA'!G8:G1048576,'ESTANDAR HORAS'!J3,'MATRIZ TRAZA'!H8:H1048576,'ESTANDAR HORAS'!A29)</f>
        <v>0</v>
      </c>
      <c r="BC15" s="46">
        <f>COUNTIFS('MATRIZ TRAZA'!E8:E1048576,'ESTANDAR HORAS'!B27,'MATRIZ TRAZA'!G8:G1048576,'ESTANDAR HORAS'!K3,'MATRIZ TRAZA'!H8:H1048576,'ESTANDAR HORAS'!A29)</f>
        <v>0</v>
      </c>
      <c r="BD15" s="502"/>
      <c r="BE15" s="503"/>
      <c r="BF15" s="503"/>
      <c r="BG15" s="503"/>
      <c r="BH15" s="503"/>
      <c r="BI15" s="503"/>
      <c r="BJ15" s="503"/>
      <c r="BK15" s="503"/>
      <c r="BL15" s="504"/>
      <c r="BM15" s="467"/>
      <c r="BN15" s="468"/>
      <c r="BO15" s="468"/>
      <c r="BP15" s="468"/>
      <c r="BQ15" s="468"/>
      <c r="BR15" s="468"/>
      <c r="BS15" s="468"/>
      <c r="BT15" s="468"/>
      <c r="BU15" s="469"/>
      <c r="BV15" s="467"/>
      <c r="BW15" s="468"/>
      <c r="BX15" s="468"/>
      <c r="BY15" s="468"/>
      <c r="BZ15" s="468"/>
      <c r="CA15" s="468"/>
      <c r="CB15" s="468"/>
      <c r="CC15" s="468"/>
      <c r="CD15" s="469"/>
      <c r="CE15" s="502"/>
      <c r="CF15" s="503"/>
      <c r="CG15" s="503"/>
      <c r="CH15" s="503"/>
      <c r="CI15" s="503"/>
      <c r="CJ15" s="503"/>
      <c r="CK15" s="503"/>
      <c r="CL15" s="503"/>
      <c r="CM15" s="503"/>
      <c r="CN15" s="503"/>
      <c r="CO15" s="503"/>
      <c r="CP15" s="503"/>
      <c r="CQ15" s="503"/>
      <c r="CR15" s="503"/>
      <c r="CS15" s="503"/>
      <c r="CT15" s="503"/>
      <c r="CU15" s="503"/>
      <c r="CV15" s="503"/>
      <c r="CW15" s="503"/>
      <c r="CX15" s="503"/>
      <c r="CY15" s="503"/>
      <c r="CZ15" s="503"/>
      <c r="DA15" s="503"/>
      <c r="DB15" s="503"/>
      <c r="DC15" s="503"/>
      <c r="DD15" s="503"/>
      <c r="DE15" s="503"/>
      <c r="DF15" s="503"/>
      <c r="DG15" s="503"/>
      <c r="DH15" s="503"/>
      <c r="DI15" s="503"/>
      <c r="DJ15" s="503"/>
      <c r="DK15" s="503"/>
      <c r="DL15" s="503"/>
      <c r="DM15" s="503"/>
      <c r="DN15" s="503"/>
      <c r="DO15" s="503"/>
      <c r="DP15" s="503"/>
      <c r="DQ15" s="503"/>
      <c r="DR15" s="503"/>
      <c r="DS15" s="503"/>
      <c r="DT15" s="503"/>
      <c r="DU15" s="503"/>
      <c r="DV15" s="503"/>
      <c r="DW15" s="504"/>
      <c r="DX15" s="189"/>
      <c r="DY15" s="190"/>
      <c r="DZ15" s="190"/>
      <c r="EA15" s="190"/>
      <c r="EB15" s="190"/>
      <c r="EC15" s="190"/>
      <c r="ED15" s="190"/>
      <c r="EE15" s="190"/>
      <c r="EF15" s="190"/>
      <c r="EG15" s="190"/>
      <c r="EH15" s="190"/>
      <c r="EI15" s="190"/>
      <c r="EJ15" s="190"/>
      <c r="EK15" s="190"/>
      <c r="EL15" s="190"/>
      <c r="EM15" s="190"/>
      <c r="EN15" s="190"/>
      <c r="EO15" s="190"/>
      <c r="EP15" s="190"/>
      <c r="EQ15" s="190"/>
      <c r="ER15" s="190"/>
      <c r="ES15" s="190"/>
      <c r="ET15" s="190"/>
      <c r="EU15" s="190"/>
      <c r="EV15" s="190"/>
      <c r="EW15" s="190"/>
      <c r="EX15" s="190"/>
      <c r="EY15" s="190"/>
      <c r="EZ15" s="190"/>
      <c r="FA15" s="190"/>
      <c r="FB15" s="190"/>
      <c r="FC15" s="190"/>
      <c r="FD15" s="190"/>
      <c r="FE15" s="190"/>
      <c r="FF15" s="190"/>
      <c r="FG15" s="190"/>
      <c r="FH15" s="190"/>
      <c r="FI15" s="190"/>
      <c r="FJ15" s="190"/>
      <c r="FK15" s="190"/>
      <c r="FL15" s="190"/>
      <c r="FM15" s="190"/>
      <c r="FN15" s="190"/>
      <c r="FO15" s="190"/>
      <c r="FP15" s="190"/>
      <c r="FQ15" s="190"/>
      <c r="FR15" s="190"/>
      <c r="FS15" s="190"/>
      <c r="FT15" s="190"/>
      <c r="FU15" s="190"/>
      <c r="FV15" s="190"/>
      <c r="FW15" s="190"/>
      <c r="FX15" s="190"/>
      <c r="FY15" s="190"/>
      <c r="FZ15" s="190"/>
      <c r="GA15" s="190"/>
      <c r="GB15" s="190"/>
      <c r="GC15" s="190"/>
      <c r="GD15" s="190"/>
      <c r="GE15" s="190"/>
      <c r="GF15" s="190"/>
      <c r="GG15" s="190"/>
      <c r="GH15" s="190"/>
      <c r="GI15" s="104"/>
      <c r="GJ15" s="104"/>
      <c r="GK15" s="104"/>
      <c r="GL15" s="47">
        <f>SUM(AU15:BC15)</f>
        <v>0</v>
      </c>
      <c r="GM15" s="5"/>
      <c r="GN15" s="197"/>
      <c r="GO15" s="197"/>
      <c r="GP15" s="197"/>
      <c r="GQ15" s="197"/>
      <c r="GR15" s="197"/>
      <c r="GS15" s="197"/>
      <c r="GT15" s="198"/>
      <c r="GU15" s="5"/>
    </row>
    <row r="16" spans="1:203" ht="15" customHeight="1" x14ac:dyDescent="0.3">
      <c r="A16" s="41" t="s">
        <v>240</v>
      </c>
      <c r="B16" s="449"/>
      <c r="C16" s="450"/>
      <c r="D16" s="450"/>
      <c r="E16" s="450"/>
      <c r="F16" s="450"/>
      <c r="G16" s="450"/>
      <c r="H16" s="450"/>
      <c r="I16" s="450"/>
      <c r="J16" s="450"/>
      <c r="K16" s="450"/>
      <c r="L16" s="450"/>
      <c r="M16" s="450"/>
      <c r="N16" s="450"/>
      <c r="O16" s="450"/>
      <c r="P16" s="450"/>
      <c r="Q16" s="450"/>
      <c r="R16" s="450"/>
      <c r="S16" s="450"/>
      <c r="T16" s="450"/>
      <c r="U16" s="450"/>
      <c r="V16" s="450"/>
      <c r="W16" s="450"/>
      <c r="X16" s="450"/>
      <c r="Y16" s="450"/>
      <c r="Z16" s="450"/>
      <c r="AA16" s="450"/>
      <c r="AB16" s="451"/>
      <c r="AC16" s="48">
        <f>((AC14*AC13)*'ADMIN TIEMPOS'!B14%)+(AC14*AC13)</f>
        <v>0</v>
      </c>
      <c r="AD16" s="48">
        <f>((AD14*AD13)*'ADMIN TIEMPOS'!B14%)+(AD14*AD13)</f>
        <v>0</v>
      </c>
      <c r="AE16" s="48">
        <f>((AE14*AE13)*'ADMIN TIEMPOS'!B14%)+(AE14*AE13)</f>
        <v>0</v>
      </c>
      <c r="AF16" s="48">
        <f>((AF14*AF13)*'ADMIN TIEMPOS'!B14%)+(AF14*AF13)</f>
        <v>0</v>
      </c>
      <c r="AG16" s="48">
        <f>((AG14*AG13)*'ADMIN TIEMPOS'!B14%)+(AG14*AG13)</f>
        <v>0</v>
      </c>
      <c r="AH16" s="48">
        <f>((AH14*AH13)*'ADMIN TIEMPOS'!B14%)+(AH14*AH13)</f>
        <v>0</v>
      </c>
      <c r="AI16" s="48">
        <f>((AI14*AI13)*'ADMIN TIEMPOS'!B14%)+(AI14*AI13)</f>
        <v>0</v>
      </c>
      <c r="AJ16" s="48">
        <f>((AJ14*AJ13)*'ADMIN TIEMPOS'!B14%)+(AJ14*AJ13)</f>
        <v>0</v>
      </c>
      <c r="AK16" s="48">
        <f>((AK14*AK13)*'ADMIN TIEMPOS'!B14%)+(AK14*AK13)</f>
        <v>0</v>
      </c>
      <c r="AL16" s="48">
        <f>((AL14*AL13)*'ADMIN TIEMPOS'!B14%)+(AL14*AL13)</f>
        <v>0</v>
      </c>
      <c r="AM16" s="48">
        <f>((AM14*AM13)*'ADMIN TIEMPOS'!B14%)+(AM14*AM13)</f>
        <v>0</v>
      </c>
      <c r="AN16" s="48">
        <f>((AN14*AN13)*'ADMIN TIEMPOS'!B14%)+(AN14*AN13)</f>
        <v>0</v>
      </c>
      <c r="AO16" s="48">
        <f>((AO14*AO13)*'ADMIN TIEMPOS'!B14%)+(AO14*AO13)</f>
        <v>0</v>
      </c>
      <c r="AP16" s="48">
        <f>((AP14*AP13)*'ADMIN TIEMPOS'!B14%)+(AP14*AP13)</f>
        <v>0</v>
      </c>
      <c r="AQ16" s="48">
        <f>((AQ14*AQ13)*'ADMIN TIEMPOS'!B14%)+(AQ14*AQ13)</f>
        <v>0</v>
      </c>
      <c r="AR16" s="48">
        <f>((AR14*AR13)*'ADMIN TIEMPOS'!B14%)+(AR14*AR13)</f>
        <v>0</v>
      </c>
      <c r="AS16" s="48">
        <f>((AS14*AS13)*'ADMIN TIEMPOS'!B14%)+(AS14*AS13)</f>
        <v>0</v>
      </c>
      <c r="AT16" s="48">
        <f>((AT14*AT13)*'ADMIN TIEMPOS'!B14%)+(AT14*AT13)</f>
        <v>0</v>
      </c>
      <c r="AU16" s="48">
        <f t="shared" ref="AU16:BB16" si="2">AU14*AU13</f>
        <v>25080</v>
      </c>
      <c r="AV16" s="48">
        <f t="shared" si="2"/>
        <v>0</v>
      </c>
      <c r="AW16" s="48">
        <f t="shared" si="2"/>
        <v>0</v>
      </c>
      <c r="AX16" s="48">
        <f t="shared" si="2"/>
        <v>0</v>
      </c>
      <c r="AY16" s="48">
        <f t="shared" si="2"/>
        <v>0</v>
      </c>
      <c r="AZ16" s="48">
        <f t="shared" si="2"/>
        <v>0</v>
      </c>
      <c r="BA16" s="48">
        <f t="shared" si="2"/>
        <v>0</v>
      </c>
      <c r="BB16" s="48">
        <f t="shared" si="2"/>
        <v>0</v>
      </c>
      <c r="BC16" s="48">
        <f>BC14*BC13</f>
        <v>0</v>
      </c>
      <c r="BD16" s="48">
        <f>((BD14*BD13)*'ADMIN TIEMPOS'!B14%)+(BD14*BD13)</f>
        <v>0</v>
      </c>
      <c r="BE16" s="48">
        <f>((BE14*BE13)*'ADMIN TIEMPOS'!B14%)+(BE14*BE13)</f>
        <v>0</v>
      </c>
      <c r="BF16" s="48">
        <f>((BF14*BF13)*'ADMIN TIEMPOS'!B14%)+(BF14*BF13)</f>
        <v>0</v>
      </c>
      <c r="BG16" s="48">
        <f>((BG14*BG13)*'ADMIN TIEMPOS'!B14%)+(BG14*BG13)</f>
        <v>0</v>
      </c>
      <c r="BH16" s="48">
        <f>((BH14*BH13)*'ADMIN TIEMPOS'!B14%)+(BH14*BH13)</f>
        <v>0</v>
      </c>
      <c r="BI16" s="48">
        <f>((BI14*BI13)*'ADMIN TIEMPOS'!B14%)+(BI14*BI13)</f>
        <v>0</v>
      </c>
      <c r="BJ16" s="48">
        <f>((BJ14*BJ13)*'ADMIN TIEMPOS'!B14%)+(BJ14*BJ13)</f>
        <v>0</v>
      </c>
      <c r="BK16" s="48">
        <f>((BK14*BK13)*'ADMIN TIEMPOS'!B14%)+(BK14*BK13)</f>
        <v>0</v>
      </c>
      <c r="BL16" s="48">
        <f>((BL14*BL13)*'ADMIN TIEMPOS'!B14%)+(BL14*BL13)</f>
        <v>0</v>
      </c>
      <c r="BM16" s="470"/>
      <c r="BN16" s="471"/>
      <c r="BO16" s="471"/>
      <c r="BP16" s="471"/>
      <c r="BQ16" s="471"/>
      <c r="BR16" s="471"/>
      <c r="BS16" s="471"/>
      <c r="BT16" s="471"/>
      <c r="BU16" s="472"/>
      <c r="BV16" s="470"/>
      <c r="BW16" s="471"/>
      <c r="BX16" s="471"/>
      <c r="BY16" s="471"/>
      <c r="BZ16" s="471"/>
      <c r="CA16" s="471"/>
      <c r="CB16" s="471"/>
      <c r="CC16" s="471"/>
      <c r="CD16" s="472"/>
      <c r="CE16" s="48">
        <f>((CE14*CE13)*'ADMIN TIEMPOS'!B14%)+(CE14*CE13)</f>
        <v>0</v>
      </c>
      <c r="CF16" s="48">
        <f>((CF14*CF13)*'ADMIN TIEMPOS'!B14%)+(CF14*CF13)</f>
        <v>0</v>
      </c>
      <c r="CG16" s="48">
        <f>((CG14*CG13)*'ADMIN TIEMPOS'!B14%)+(CG14*CG13)</f>
        <v>0</v>
      </c>
      <c r="CH16" s="48">
        <f>((CH14*CH13)*'ADMIN TIEMPOS'!B14%)+(CH14*CH13)</f>
        <v>0</v>
      </c>
      <c r="CI16" s="48">
        <f>((CI14*CI13)*'ADMIN TIEMPOS'!B14%)+(CI14*CI13)</f>
        <v>0</v>
      </c>
      <c r="CJ16" s="48">
        <f>((CJ14*CJ13)*'ADMIN TIEMPOS'!B14%)+(CJ14*CJ13)</f>
        <v>0</v>
      </c>
      <c r="CK16" s="48">
        <f>((CK14*CK13)*'ADMIN TIEMPOS'!B14%)+(CK14*CK13)</f>
        <v>0</v>
      </c>
      <c r="CL16" s="48">
        <f>((CL14*CL13)*'ADMIN TIEMPOS'!B14%)+(CL14*CL13)</f>
        <v>0</v>
      </c>
      <c r="CM16" s="48">
        <f>((CM14*CM13)*'ADMIN TIEMPOS'!B14%)+(CM14*CM13)</f>
        <v>0</v>
      </c>
      <c r="CN16" s="48">
        <f>((CN14*CN13)*'ADMIN TIEMPOS'!B14%)+(CN14*CN13)</f>
        <v>0</v>
      </c>
      <c r="CO16" s="48">
        <f>((CO14*CO13)*'ADMIN TIEMPOS'!B14%)+(CO14*CO13)</f>
        <v>0</v>
      </c>
      <c r="CP16" s="48">
        <f>((CP14*CP13)*'ADMIN TIEMPOS'!B14%)+(CP14*CP13)</f>
        <v>0</v>
      </c>
      <c r="CQ16" s="48">
        <f>((CQ14*CQ13)*'ADMIN TIEMPOS'!B14%)+(CQ14*CQ13)</f>
        <v>0</v>
      </c>
      <c r="CR16" s="48">
        <f>((CR14*CR13)*'ADMIN TIEMPOS'!B14%)+(CR14*CR13)</f>
        <v>0</v>
      </c>
      <c r="CS16" s="48">
        <f>((CS14*CS13)*'ADMIN TIEMPOS'!B14%)+(CS14*CS13)</f>
        <v>0</v>
      </c>
      <c r="CT16" s="48">
        <f>((CT14*CT13)*'ADMIN TIEMPOS'!B14%)+(CT14*CT13)</f>
        <v>0</v>
      </c>
      <c r="CU16" s="48">
        <f>((CU14*CU13)*'ADMIN TIEMPOS'!B14%)+(CU14*CU13)</f>
        <v>0</v>
      </c>
      <c r="CV16" s="48">
        <f>((CV14*CV13)*'ADMIN TIEMPOS'!B14%)+(CV14*CV13)</f>
        <v>0</v>
      </c>
      <c r="CW16" s="48">
        <f>((CW14*CW13)*'ADMIN TIEMPOS'!B14%)+(CW14*CW13)</f>
        <v>0</v>
      </c>
      <c r="CX16" s="48">
        <f>((CX14*CX13)*'ADMIN TIEMPOS'!B14%)+(CX14*CX13)</f>
        <v>0</v>
      </c>
      <c r="CY16" s="48">
        <f>((CY14*CY13)*'ADMIN TIEMPOS'!B14%)+(CY14*CY13)</f>
        <v>0</v>
      </c>
      <c r="CZ16" s="48">
        <f>((CZ14*CZ13)*'ADMIN TIEMPOS'!B14%)+(CZ14*CZ13)</f>
        <v>0</v>
      </c>
      <c r="DA16" s="48">
        <f>((DA14*DA13)*'ADMIN TIEMPOS'!B14%)+(DA14*DA13)</f>
        <v>0</v>
      </c>
      <c r="DB16" s="48">
        <f>((DB14*DB13)*'ADMIN TIEMPOS'!B14%)+(DB14*DB13)</f>
        <v>0</v>
      </c>
      <c r="DC16" s="48">
        <f>((DC14*DC13)*'ADMIN TIEMPOS'!B14%)+(DC14*DC13)</f>
        <v>0</v>
      </c>
      <c r="DD16" s="48">
        <f>((DD14*DD13)*'ADMIN TIEMPOS'!B14%)+(DD14*DD13)</f>
        <v>0</v>
      </c>
      <c r="DE16" s="48">
        <f>((DE14*DE13)*'ADMIN TIEMPOS'!B14%)+(DE14*DE13)</f>
        <v>0</v>
      </c>
      <c r="DF16" s="48">
        <f>((DF14*DF13)*'ADMIN TIEMPOS'!B14%)+(DF14*DF13)</f>
        <v>0</v>
      </c>
      <c r="DG16" s="48">
        <f>((DG14*DG13)*'ADMIN TIEMPOS'!B14%)+(DG14*DG13)</f>
        <v>0</v>
      </c>
      <c r="DH16" s="48">
        <f>((DH14*DH13)*'ADMIN TIEMPOS'!B14%)+(DH14*DH13)</f>
        <v>0</v>
      </c>
      <c r="DI16" s="48">
        <f>((DI14*DI13)*'ADMIN TIEMPOS'!B14%)+(DI14*DI13)</f>
        <v>0</v>
      </c>
      <c r="DJ16" s="48">
        <f>((DJ14*DJ13)*'ADMIN TIEMPOS'!B14%)+(DJ14*DJ13)</f>
        <v>0</v>
      </c>
      <c r="DK16" s="48">
        <f>((DK14*DK13)*'ADMIN TIEMPOS'!B14%)+(DK14*DK13)</f>
        <v>0</v>
      </c>
      <c r="DL16" s="48">
        <f>((DL14*DL13)*'ADMIN TIEMPOS'!B14%)+(DL14*DL13)</f>
        <v>0</v>
      </c>
      <c r="DM16" s="48">
        <f>((DM14*DM13)*'ADMIN TIEMPOS'!B14%)+(DM14*DM13)</f>
        <v>0</v>
      </c>
      <c r="DN16" s="48">
        <f>((DN14*DN13)*'ADMIN TIEMPOS'!B14%)+(DN14*DN13)</f>
        <v>0</v>
      </c>
      <c r="DO16" s="48">
        <f>((DO14*DO13)*'ADMIN TIEMPOS'!B14%)+(DO14*DO13)</f>
        <v>0</v>
      </c>
      <c r="DP16" s="48">
        <f>((DP14*DP13)*'ADMIN TIEMPOS'!B14%)+(DP14*DP13)</f>
        <v>0</v>
      </c>
      <c r="DQ16" s="48">
        <f>((DQ14*DQ13)*'ADMIN TIEMPOS'!B14%)+(DQ14*DQ13)</f>
        <v>0</v>
      </c>
      <c r="DR16" s="48">
        <f>((DR14*DR13)*'ADMIN TIEMPOS'!B14%)+(DR14*DR13)</f>
        <v>0</v>
      </c>
      <c r="DS16" s="48">
        <f>((DS14*DS13)*'ADMIN TIEMPOS'!B14%)+(DS14*DS13)</f>
        <v>0</v>
      </c>
      <c r="DT16" s="48">
        <f>((DT14*DT13)*'ADMIN TIEMPOS'!B14%)+(DT14*DT13)</f>
        <v>0</v>
      </c>
      <c r="DU16" s="48">
        <f>((DU14*DU13)*'ADMIN TIEMPOS'!B14%)+(DU14*DU13)</f>
        <v>0</v>
      </c>
      <c r="DV16" s="48">
        <f>((DV14*DV13)*'ADMIN TIEMPOS'!B14%)+(DV14*DV13)</f>
        <v>0</v>
      </c>
      <c r="DW16" s="48">
        <f>((DW14*DW13)*'ADMIN TIEMPOS'!B14%)+(DW14*DW13)</f>
        <v>0</v>
      </c>
      <c r="DX16" s="446"/>
      <c r="DY16" s="447"/>
      <c r="DZ16" s="447"/>
      <c r="EA16" s="447"/>
      <c r="EB16" s="447"/>
      <c r="EC16" s="447"/>
      <c r="ED16" s="447"/>
      <c r="EE16" s="447"/>
      <c r="EF16" s="447"/>
      <c r="EG16" s="447"/>
      <c r="EH16" s="447"/>
      <c r="EI16" s="447"/>
      <c r="EJ16" s="447"/>
      <c r="EK16" s="447"/>
      <c r="EL16" s="447"/>
      <c r="EM16" s="447"/>
      <c r="EN16" s="447"/>
      <c r="EO16" s="447"/>
      <c r="EP16" s="447"/>
      <c r="EQ16" s="447"/>
      <c r="ER16" s="447"/>
      <c r="ES16" s="447"/>
      <c r="ET16" s="447"/>
      <c r="EU16" s="447"/>
      <c r="EV16" s="447"/>
      <c r="EW16" s="447"/>
      <c r="EX16" s="447"/>
      <c r="EY16" s="447"/>
      <c r="EZ16" s="447"/>
      <c r="FA16" s="447"/>
      <c r="FB16" s="447"/>
      <c r="FC16" s="447"/>
      <c r="FD16" s="447"/>
      <c r="FE16" s="447"/>
      <c r="FF16" s="447"/>
      <c r="FG16" s="447"/>
      <c r="FH16" s="447"/>
      <c r="FI16" s="447"/>
      <c r="FJ16" s="447"/>
      <c r="FK16" s="447"/>
      <c r="FL16" s="447"/>
      <c r="FM16" s="447"/>
      <c r="FN16" s="447"/>
      <c r="FO16" s="447"/>
      <c r="FP16" s="447"/>
      <c r="FQ16" s="447"/>
      <c r="FR16" s="447"/>
      <c r="FS16" s="447"/>
      <c r="FT16" s="447"/>
      <c r="FU16" s="447"/>
      <c r="FV16" s="447"/>
      <c r="FW16" s="447"/>
      <c r="FX16" s="447"/>
      <c r="FY16" s="447"/>
      <c r="FZ16" s="447"/>
      <c r="GA16" s="447"/>
      <c r="GB16" s="447"/>
      <c r="GC16" s="447"/>
      <c r="GD16" s="447"/>
      <c r="GE16" s="447"/>
      <c r="GF16" s="447"/>
      <c r="GG16" s="447"/>
      <c r="GH16" s="447"/>
      <c r="GI16" s="102"/>
      <c r="GJ16" s="102"/>
      <c r="GK16" s="102"/>
      <c r="GL16" s="161">
        <f>SUM(B16:FP16)/60</f>
        <v>418</v>
      </c>
      <c r="GM16" s="5"/>
      <c r="GN16" s="5"/>
      <c r="GO16" s="5"/>
      <c r="GP16" s="5"/>
      <c r="GQ16" s="5"/>
      <c r="GR16" s="5"/>
      <c r="GS16" s="5"/>
      <c r="GT16" s="75"/>
      <c r="GU16" s="5"/>
    </row>
    <row r="17" spans="1:203" ht="21.6" x14ac:dyDescent="0.3">
      <c r="A17" s="41" t="s">
        <v>245</v>
      </c>
      <c r="B17" s="279"/>
      <c r="C17" s="280"/>
      <c r="D17" s="280"/>
      <c r="E17" s="280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1"/>
      <c r="AC17" s="310"/>
      <c r="AD17" s="310"/>
      <c r="AE17" s="310"/>
      <c r="AF17" s="310"/>
      <c r="AG17" s="310"/>
      <c r="AH17" s="310"/>
      <c r="AI17" s="310"/>
      <c r="AJ17" s="310"/>
      <c r="AK17" s="310"/>
      <c r="AL17" s="310"/>
      <c r="AM17" s="310"/>
      <c r="AN17" s="310"/>
      <c r="AO17" s="310"/>
      <c r="AP17" s="310"/>
      <c r="AQ17" s="310"/>
      <c r="AR17" s="310"/>
      <c r="AS17" s="310"/>
      <c r="AT17" s="310"/>
      <c r="AU17" s="48">
        <f t="shared" ref="AU17:BB17" si="3">AU15*AU13</f>
        <v>0</v>
      </c>
      <c r="AV17" s="48">
        <f t="shared" si="3"/>
        <v>0</v>
      </c>
      <c r="AW17" s="48">
        <f t="shared" si="3"/>
        <v>0</v>
      </c>
      <c r="AX17" s="48">
        <f t="shared" si="3"/>
        <v>0</v>
      </c>
      <c r="AY17" s="48">
        <f t="shared" si="3"/>
        <v>0</v>
      </c>
      <c r="AZ17" s="48">
        <f t="shared" si="3"/>
        <v>0</v>
      </c>
      <c r="BA17" s="48">
        <f t="shared" si="3"/>
        <v>0</v>
      </c>
      <c r="BB17" s="48">
        <f t="shared" si="3"/>
        <v>0</v>
      </c>
      <c r="BC17" s="48">
        <f>BC15*BC13</f>
        <v>0</v>
      </c>
      <c r="BD17" s="311"/>
      <c r="BE17" s="312"/>
      <c r="BF17" s="312"/>
      <c r="BG17" s="312"/>
      <c r="BH17" s="312"/>
      <c r="BI17" s="312"/>
      <c r="BJ17" s="312"/>
      <c r="BK17" s="312"/>
      <c r="BL17" s="313"/>
      <c r="BM17" s="277"/>
      <c r="BN17" s="300"/>
      <c r="BO17" s="300"/>
      <c r="BP17" s="300"/>
      <c r="BQ17" s="300"/>
      <c r="BR17" s="300"/>
      <c r="BS17" s="300"/>
      <c r="BT17" s="300"/>
      <c r="BU17" s="278"/>
      <c r="BV17" s="277"/>
      <c r="BW17" s="300"/>
      <c r="BX17" s="300"/>
      <c r="BY17" s="300"/>
      <c r="BZ17" s="300"/>
      <c r="CA17" s="300"/>
      <c r="CB17" s="300"/>
      <c r="CC17" s="300"/>
      <c r="CD17" s="278"/>
      <c r="CE17" s="310"/>
      <c r="CF17" s="310"/>
      <c r="CG17" s="310"/>
      <c r="CH17" s="310"/>
      <c r="CI17" s="310"/>
      <c r="CJ17" s="310"/>
      <c r="CK17" s="310"/>
      <c r="CL17" s="310"/>
      <c r="CM17" s="310"/>
      <c r="CN17" s="310"/>
      <c r="CO17" s="310"/>
      <c r="CP17" s="310"/>
      <c r="CQ17" s="310"/>
      <c r="CR17" s="310"/>
      <c r="CS17" s="310"/>
      <c r="CT17" s="310"/>
      <c r="CU17" s="310"/>
      <c r="CV17" s="310"/>
      <c r="CW17" s="310"/>
      <c r="CX17" s="310"/>
      <c r="CY17" s="310"/>
      <c r="CZ17" s="310"/>
      <c r="DA17" s="310"/>
      <c r="DB17" s="310"/>
      <c r="DC17" s="310"/>
      <c r="DD17" s="310"/>
      <c r="DE17" s="310"/>
      <c r="DF17" s="311"/>
      <c r="DG17" s="312"/>
      <c r="DH17" s="312"/>
      <c r="DI17" s="312"/>
      <c r="DJ17" s="312"/>
      <c r="DK17" s="312"/>
      <c r="DL17" s="312"/>
      <c r="DM17" s="312"/>
      <c r="DN17" s="313"/>
      <c r="DO17" s="311"/>
      <c r="DP17" s="312"/>
      <c r="DQ17" s="312"/>
      <c r="DR17" s="312"/>
      <c r="DS17" s="312"/>
      <c r="DT17" s="312"/>
      <c r="DU17" s="312"/>
      <c r="DV17" s="312"/>
      <c r="DW17" s="313"/>
      <c r="DX17" s="304"/>
      <c r="DY17" s="305"/>
      <c r="DZ17" s="305"/>
      <c r="EA17" s="305"/>
      <c r="EB17" s="305"/>
      <c r="EC17" s="305"/>
      <c r="ED17" s="305"/>
      <c r="EE17" s="305"/>
      <c r="EF17" s="305"/>
      <c r="EG17" s="305"/>
      <c r="EH17" s="305"/>
      <c r="EI17" s="305"/>
      <c r="EJ17" s="305"/>
      <c r="EK17" s="305"/>
      <c r="EL17" s="305"/>
      <c r="EM17" s="305"/>
      <c r="EN17" s="305"/>
      <c r="EO17" s="305"/>
      <c r="EP17" s="305"/>
      <c r="EQ17" s="305"/>
      <c r="ER17" s="305"/>
      <c r="ES17" s="305"/>
      <c r="ET17" s="305"/>
      <c r="EU17" s="305"/>
      <c r="EV17" s="305"/>
      <c r="EW17" s="305"/>
      <c r="EX17" s="305"/>
      <c r="EY17" s="305"/>
      <c r="EZ17" s="305"/>
      <c r="FA17" s="305"/>
      <c r="FB17" s="305"/>
      <c r="FC17" s="305"/>
      <c r="FD17" s="305"/>
      <c r="FE17" s="305"/>
      <c r="FF17" s="305"/>
      <c r="FG17" s="305"/>
      <c r="FH17" s="305"/>
      <c r="FI17" s="305"/>
      <c r="FJ17" s="305"/>
      <c r="FK17" s="305"/>
      <c r="FL17" s="305"/>
      <c r="FM17" s="305"/>
      <c r="FN17" s="305"/>
      <c r="FO17" s="305"/>
      <c r="FP17" s="305"/>
      <c r="FQ17" s="305"/>
      <c r="FR17" s="305"/>
      <c r="FS17" s="305"/>
      <c r="FT17" s="305"/>
      <c r="FU17" s="305"/>
      <c r="FV17" s="305"/>
      <c r="FW17" s="305"/>
      <c r="FX17" s="305"/>
      <c r="FY17" s="305"/>
      <c r="FZ17" s="305"/>
      <c r="GA17" s="305"/>
      <c r="GB17" s="305"/>
      <c r="GC17" s="305"/>
      <c r="GD17" s="305"/>
      <c r="GE17" s="305"/>
      <c r="GF17" s="305"/>
      <c r="GG17" s="305"/>
      <c r="GH17" s="305"/>
      <c r="GI17" s="305"/>
      <c r="GJ17" s="305"/>
      <c r="GK17" s="305"/>
      <c r="GL17" s="161">
        <f>SUM(B17:FP17)/60</f>
        <v>0</v>
      </c>
      <c r="GM17" s="5"/>
      <c r="GN17" s="5"/>
      <c r="GO17" s="5"/>
      <c r="GP17" s="5"/>
      <c r="GQ17" s="5"/>
      <c r="GR17" s="5"/>
      <c r="GS17" s="5"/>
      <c r="GT17" s="75"/>
      <c r="GU17" s="5"/>
    </row>
    <row r="18" spans="1:203" ht="14.25" customHeight="1" x14ac:dyDescent="0.3">
      <c r="A18" s="49" t="s">
        <v>246</v>
      </c>
      <c r="B18" s="464"/>
      <c r="C18" s="465"/>
      <c r="D18" s="465"/>
      <c r="E18" s="465"/>
      <c r="F18" s="465"/>
      <c r="G18" s="465"/>
      <c r="H18" s="465"/>
      <c r="I18" s="465"/>
      <c r="J18" s="466"/>
      <c r="K18" s="464"/>
      <c r="L18" s="465"/>
      <c r="M18" s="465"/>
      <c r="N18" s="465"/>
      <c r="O18" s="465"/>
      <c r="P18" s="465"/>
      <c r="Q18" s="465"/>
      <c r="R18" s="465"/>
      <c r="S18" s="466"/>
      <c r="T18" s="464"/>
      <c r="U18" s="465"/>
      <c r="V18" s="465"/>
      <c r="W18" s="465"/>
      <c r="X18" s="465"/>
      <c r="Y18" s="465"/>
      <c r="Z18" s="465"/>
      <c r="AA18" s="465"/>
      <c r="AB18" s="466"/>
      <c r="AC18" s="50">
        <f>'ADMIN TIEMPOS'!$D$2</f>
        <v>5</v>
      </c>
      <c r="AD18" s="50">
        <f>'ADMIN TIEMPOS'!$D$3</f>
        <v>10</v>
      </c>
      <c r="AE18" s="50">
        <f>'ADMIN TIEMPOS'!$D$4</f>
        <v>15</v>
      </c>
      <c r="AF18" s="50">
        <f>'ADMIN TIEMPOS'!$D$5</f>
        <v>30</v>
      </c>
      <c r="AG18" s="50">
        <f>'ADMIN TIEMPOS'!$D$6</f>
        <v>45</v>
      </c>
      <c r="AH18" s="50">
        <f>'ADMIN TIEMPOS'!$D$7</f>
        <v>60</v>
      </c>
      <c r="AI18" s="50">
        <f>'ADMIN TIEMPOS'!$D$8</f>
        <v>90</v>
      </c>
      <c r="AJ18" s="50">
        <f>'ADMIN TIEMPOS'!$D$9</f>
        <v>120</v>
      </c>
      <c r="AK18" s="50">
        <f>'ADMIN TIEMPOS'!$D$10</f>
        <v>180</v>
      </c>
      <c r="AL18" s="50">
        <f>'ADMIN TIEMPOS'!$D$2</f>
        <v>5</v>
      </c>
      <c r="AM18" s="50">
        <f>'ADMIN TIEMPOS'!$D$3</f>
        <v>10</v>
      </c>
      <c r="AN18" s="50">
        <f>'ADMIN TIEMPOS'!$D$4</f>
        <v>15</v>
      </c>
      <c r="AO18" s="50">
        <f>'ADMIN TIEMPOS'!$D$5</f>
        <v>30</v>
      </c>
      <c r="AP18" s="50">
        <f>'ADMIN TIEMPOS'!$D$6</f>
        <v>45</v>
      </c>
      <c r="AQ18" s="50">
        <f>'ADMIN TIEMPOS'!$D$7</f>
        <v>60</v>
      </c>
      <c r="AR18" s="50">
        <f>'ADMIN TIEMPOS'!$D$8</f>
        <v>90</v>
      </c>
      <c r="AS18" s="50">
        <f>'ADMIN TIEMPOS'!$D$9</f>
        <v>120</v>
      </c>
      <c r="AT18" s="50">
        <f>'ADMIN TIEMPOS'!$D$10</f>
        <v>180</v>
      </c>
      <c r="AU18" s="464"/>
      <c r="AV18" s="465"/>
      <c r="AW18" s="465"/>
      <c r="AX18" s="465"/>
      <c r="AY18" s="465"/>
      <c r="AZ18" s="465"/>
      <c r="BA18" s="465"/>
      <c r="BB18" s="465"/>
      <c r="BC18" s="466"/>
      <c r="BD18" s="464"/>
      <c r="BE18" s="465"/>
      <c r="BF18" s="465"/>
      <c r="BG18" s="465"/>
      <c r="BH18" s="465"/>
      <c r="BI18" s="465"/>
      <c r="BJ18" s="465"/>
      <c r="BK18" s="465"/>
      <c r="BL18" s="466"/>
      <c r="BM18" s="464"/>
      <c r="BN18" s="465"/>
      <c r="BO18" s="465"/>
      <c r="BP18" s="465"/>
      <c r="BQ18" s="465"/>
      <c r="BR18" s="465"/>
      <c r="BS18" s="465"/>
      <c r="BT18" s="465"/>
      <c r="BU18" s="466"/>
      <c r="BV18" s="464"/>
      <c r="BW18" s="465"/>
      <c r="BX18" s="465"/>
      <c r="BY18" s="465"/>
      <c r="BZ18" s="465"/>
      <c r="CA18" s="465"/>
      <c r="CB18" s="465"/>
      <c r="CC18" s="465"/>
      <c r="CD18" s="466"/>
      <c r="CE18" s="50">
        <f>'ADMIN TIEMPOS'!$D$2</f>
        <v>5</v>
      </c>
      <c r="CF18" s="50">
        <f>'ADMIN TIEMPOS'!$D$3</f>
        <v>10</v>
      </c>
      <c r="CG18" s="50">
        <f>'ADMIN TIEMPOS'!$D$4</f>
        <v>15</v>
      </c>
      <c r="CH18" s="50">
        <f>'ADMIN TIEMPOS'!$D$5</f>
        <v>30</v>
      </c>
      <c r="CI18" s="50">
        <f>'ADMIN TIEMPOS'!$D$6</f>
        <v>45</v>
      </c>
      <c r="CJ18" s="50">
        <f>'ADMIN TIEMPOS'!$D$7</f>
        <v>60</v>
      </c>
      <c r="CK18" s="50">
        <f>'ADMIN TIEMPOS'!$D$8</f>
        <v>90</v>
      </c>
      <c r="CL18" s="50">
        <f>'ADMIN TIEMPOS'!$D$9</f>
        <v>120</v>
      </c>
      <c r="CM18" s="50">
        <f>'ADMIN TIEMPOS'!$D$10</f>
        <v>180</v>
      </c>
      <c r="CN18" s="50">
        <f>'ADMIN TIEMPOS'!$D$2</f>
        <v>5</v>
      </c>
      <c r="CO18" s="50">
        <f>'ADMIN TIEMPOS'!$D$3</f>
        <v>10</v>
      </c>
      <c r="CP18" s="50">
        <f>'ADMIN TIEMPOS'!$D$4</f>
        <v>15</v>
      </c>
      <c r="CQ18" s="50">
        <f>'ADMIN TIEMPOS'!$D$5</f>
        <v>30</v>
      </c>
      <c r="CR18" s="50">
        <f>'ADMIN TIEMPOS'!$D$6</f>
        <v>45</v>
      </c>
      <c r="CS18" s="50">
        <f>'ADMIN TIEMPOS'!$D$7</f>
        <v>60</v>
      </c>
      <c r="CT18" s="50">
        <f>'ADMIN TIEMPOS'!$D$8</f>
        <v>90</v>
      </c>
      <c r="CU18" s="50">
        <f>'ADMIN TIEMPOS'!$D$9</f>
        <v>120</v>
      </c>
      <c r="CV18" s="50">
        <f>'ADMIN TIEMPOS'!$D$10</f>
        <v>180</v>
      </c>
      <c r="CW18" s="50">
        <f>'ADMIN TIEMPOS'!$D$2</f>
        <v>5</v>
      </c>
      <c r="CX18" s="50">
        <f>'ADMIN TIEMPOS'!$D$3</f>
        <v>10</v>
      </c>
      <c r="CY18" s="50">
        <f>'ADMIN TIEMPOS'!$D$4</f>
        <v>15</v>
      </c>
      <c r="CZ18" s="50">
        <f>'ADMIN TIEMPOS'!$D$5</f>
        <v>30</v>
      </c>
      <c r="DA18" s="50">
        <f>'ADMIN TIEMPOS'!$D$6</f>
        <v>45</v>
      </c>
      <c r="DB18" s="50">
        <f>'ADMIN TIEMPOS'!$D$7</f>
        <v>60</v>
      </c>
      <c r="DC18" s="50">
        <f>'ADMIN TIEMPOS'!$D$8</f>
        <v>90</v>
      </c>
      <c r="DD18" s="50">
        <f>'ADMIN TIEMPOS'!$D$9</f>
        <v>120</v>
      </c>
      <c r="DE18" s="50">
        <f>'ADMIN TIEMPOS'!$D$10</f>
        <v>180</v>
      </c>
      <c r="DF18" s="464"/>
      <c r="DG18" s="465"/>
      <c r="DH18" s="465"/>
      <c r="DI18" s="465"/>
      <c r="DJ18" s="465"/>
      <c r="DK18" s="465"/>
      <c r="DL18" s="465"/>
      <c r="DM18" s="465"/>
      <c r="DN18" s="466"/>
      <c r="DO18" s="464"/>
      <c r="DP18" s="465"/>
      <c r="DQ18" s="465"/>
      <c r="DR18" s="465"/>
      <c r="DS18" s="465"/>
      <c r="DT18" s="465"/>
      <c r="DU18" s="465"/>
      <c r="DV18" s="465"/>
      <c r="DW18" s="466"/>
      <c r="DX18" s="50">
        <f>'ADMIN TIEMPOS'!$D$2</f>
        <v>5</v>
      </c>
      <c r="DY18" s="50">
        <f>'ADMIN TIEMPOS'!$D$3</f>
        <v>10</v>
      </c>
      <c r="DZ18" s="50">
        <f>'ADMIN TIEMPOS'!$D$4</f>
        <v>15</v>
      </c>
      <c r="EA18" s="50">
        <f>'ADMIN TIEMPOS'!$D$5</f>
        <v>30</v>
      </c>
      <c r="EB18" s="50">
        <f>'ADMIN TIEMPOS'!$D$6</f>
        <v>45</v>
      </c>
      <c r="EC18" s="50">
        <f>'ADMIN TIEMPOS'!$D$7</f>
        <v>60</v>
      </c>
      <c r="ED18" s="50">
        <f>'ADMIN TIEMPOS'!$D$8</f>
        <v>90</v>
      </c>
      <c r="EE18" s="50">
        <f>'ADMIN TIEMPOS'!$D$9</f>
        <v>120</v>
      </c>
      <c r="EF18" s="50">
        <f>'ADMIN TIEMPOS'!$D$10</f>
        <v>180</v>
      </c>
      <c r="EG18" s="50">
        <f>'ADMIN TIEMPOS'!$D$2</f>
        <v>5</v>
      </c>
      <c r="EH18" s="50">
        <f>'ADMIN TIEMPOS'!$D$3</f>
        <v>10</v>
      </c>
      <c r="EI18" s="50">
        <f>'ADMIN TIEMPOS'!$D$4</f>
        <v>15</v>
      </c>
      <c r="EJ18" s="50">
        <f>'ADMIN TIEMPOS'!$D$5</f>
        <v>30</v>
      </c>
      <c r="EK18" s="50">
        <f>'ADMIN TIEMPOS'!$D$6</f>
        <v>45</v>
      </c>
      <c r="EL18" s="50">
        <f>'ADMIN TIEMPOS'!$D$7</f>
        <v>60</v>
      </c>
      <c r="EM18" s="50">
        <f>'ADMIN TIEMPOS'!$D$8</f>
        <v>90</v>
      </c>
      <c r="EN18" s="50">
        <f>'ADMIN TIEMPOS'!$D$9</f>
        <v>120</v>
      </c>
      <c r="EO18" s="50">
        <f>'ADMIN TIEMPOS'!$D$10</f>
        <v>180</v>
      </c>
      <c r="EP18" s="50">
        <f>'ADMIN TIEMPOS'!$D$2</f>
        <v>5</v>
      </c>
      <c r="EQ18" s="50">
        <f>'ADMIN TIEMPOS'!$D$3</f>
        <v>10</v>
      </c>
      <c r="ER18" s="50">
        <f>'ADMIN TIEMPOS'!$D$4</f>
        <v>15</v>
      </c>
      <c r="ES18" s="50">
        <f>'ADMIN TIEMPOS'!$D$5</f>
        <v>30</v>
      </c>
      <c r="ET18" s="50">
        <f>'ADMIN TIEMPOS'!$D$6</f>
        <v>45</v>
      </c>
      <c r="EU18" s="50">
        <f>'ADMIN TIEMPOS'!$D$7</f>
        <v>60</v>
      </c>
      <c r="EV18" s="50">
        <f>'ADMIN TIEMPOS'!$D$8</f>
        <v>90</v>
      </c>
      <c r="EW18" s="50">
        <f>'ADMIN TIEMPOS'!$D$9</f>
        <v>120</v>
      </c>
      <c r="EX18" s="50">
        <f>'ADMIN TIEMPOS'!$D$10</f>
        <v>180</v>
      </c>
      <c r="EY18" s="464"/>
      <c r="EZ18" s="465"/>
      <c r="FA18" s="465"/>
      <c r="FB18" s="465"/>
      <c r="FC18" s="465"/>
      <c r="FD18" s="465"/>
      <c r="FE18" s="465"/>
      <c r="FF18" s="465"/>
      <c r="FG18" s="466"/>
      <c r="FH18" s="464"/>
      <c r="FI18" s="465"/>
      <c r="FJ18" s="465"/>
      <c r="FK18" s="465"/>
      <c r="FL18" s="465"/>
      <c r="FM18" s="465"/>
      <c r="FN18" s="465"/>
      <c r="FO18" s="465"/>
      <c r="FP18" s="466"/>
      <c r="FQ18" s="50">
        <f>'ADMIN TIEMPOS'!$D$2</f>
        <v>5</v>
      </c>
      <c r="FR18" s="50">
        <f>'ADMIN TIEMPOS'!$D$3</f>
        <v>10</v>
      </c>
      <c r="FS18" s="50">
        <f>'ADMIN TIEMPOS'!$D$4</f>
        <v>15</v>
      </c>
      <c r="FT18" s="50">
        <f>'ADMIN TIEMPOS'!$D$5</f>
        <v>30</v>
      </c>
      <c r="FU18" s="50">
        <f>'ADMIN TIEMPOS'!$D$6</f>
        <v>45</v>
      </c>
      <c r="FV18" s="50">
        <f>'ADMIN TIEMPOS'!$D$7</f>
        <v>60</v>
      </c>
      <c r="FW18" s="50">
        <f>'ADMIN TIEMPOS'!$D$8</f>
        <v>90</v>
      </c>
      <c r="FX18" s="50">
        <f>'ADMIN TIEMPOS'!$D$9</f>
        <v>120</v>
      </c>
      <c r="FY18" s="50">
        <f>'ADMIN TIEMPOS'!$D$10</f>
        <v>180</v>
      </c>
      <c r="FZ18" s="50">
        <f>'ADMIN TIEMPOS'!$D$2</f>
        <v>5</v>
      </c>
      <c r="GA18" s="50">
        <f>'ADMIN TIEMPOS'!$D$3</f>
        <v>10</v>
      </c>
      <c r="GB18" s="50">
        <f>'ADMIN TIEMPOS'!$D$4</f>
        <v>15</v>
      </c>
      <c r="GC18" s="50">
        <f>'ADMIN TIEMPOS'!$D$5</f>
        <v>30</v>
      </c>
      <c r="GD18" s="50">
        <f>'ADMIN TIEMPOS'!$D$6</f>
        <v>45</v>
      </c>
      <c r="GE18" s="50">
        <f>'ADMIN TIEMPOS'!$D$7</f>
        <v>60</v>
      </c>
      <c r="GF18" s="50">
        <f>'ADMIN TIEMPOS'!$D$8</f>
        <v>90</v>
      </c>
      <c r="GG18" s="50">
        <f>'ADMIN TIEMPOS'!$D$9</f>
        <v>120</v>
      </c>
      <c r="GH18" s="50">
        <f>'ADMIN TIEMPOS'!$D$10</f>
        <v>180</v>
      </c>
      <c r="GI18" s="452"/>
      <c r="GJ18" s="453"/>
      <c r="GK18" s="454"/>
      <c r="GL18" s="84"/>
      <c r="GM18" s="5"/>
      <c r="GN18" s="5"/>
      <c r="GO18" s="5"/>
      <c r="GP18" s="5"/>
      <c r="GQ18" s="5"/>
      <c r="GR18" s="5"/>
      <c r="GS18" s="5"/>
      <c r="GT18" s="75"/>
      <c r="GU18" s="5"/>
    </row>
    <row r="19" spans="1:203" ht="27.75" customHeight="1" x14ac:dyDescent="0.3">
      <c r="A19" s="67" t="s">
        <v>247</v>
      </c>
      <c r="B19" s="467"/>
      <c r="C19" s="468"/>
      <c r="D19" s="468"/>
      <c r="E19" s="468"/>
      <c r="F19" s="468"/>
      <c r="G19" s="468"/>
      <c r="H19" s="468"/>
      <c r="I19" s="468"/>
      <c r="J19" s="469"/>
      <c r="K19" s="467"/>
      <c r="L19" s="468"/>
      <c r="M19" s="468"/>
      <c r="N19" s="468"/>
      <c r="O19" s="468"/>
      <c r="P19" s="468"/>
      <c r="Q19" s="468"/>
      <c r="R19" s="468"/>
      <c r="S19" s="469"/>
      <c r="T19" s="467"/>
      <c r="U19" s="468"/>
      <c r="V19" s="468"/>
      <c r="W19" s="468"/>
      <c r="X19" s="468"/>
      <c r="Y19" s="468"/>
      <c r="Z19" s="468"/>
      <c r="AA19" s="468"/>
      <c r="AB19" s="469"/>
      <c r="AC19" s="68">
        <f>COUNTIFS('MATRIZ TRAZA'!D6:D1048576,'ESTANDAR HORAS'!A8,'MATRIZ TRAZA'!E6:E1048576,'ESTANDAR HORAS'!B24,'MATRIZ TRAZA'!G6:G1048576,'ESTANDAR HORAS'!C3)</f>
        <v>0</v>
      </c>
      <c r="AD19" s="68">
        <f>COUNTIFS('MATRIZ TRAZA'!D6:D1048576,'ESTANDAR HORAS'!A8,'MATRIZ TRAZA'!E6:E1048576,'ESTANDAR HORAS'!B24,'MATRIZ TRAZA'!G6:G1048576,'ESTANDAR HORAS'!D3)</f>
        <v>0</v>
      </c>
      <c r="AE19" s="68">
        <f>COUNTIFS('MATRIZ TRAZA'!D6:D1048576,'ESTANDAR HORAS'!A8,'MATRIZ TRAZA'!E6:E1048576,'ESTANDAR HORAS'!B24,'MATRIZ TRAZA'!G6:G1048576,'ESTANDAR HORAS'!E3)</f>
        <v>0</v>
      </c>
      <c r="AF19" s="68">
        <f>COUNTIFS('MATRIZ TRAZA'!D6:D1048576,'ESTANDAR HORAS'!A8,'MATRIZ TRAZA'!E6:E1048576,'ESTANDAR HORAS'!B24,'MATRIZ TRAZA'!G6:G1048576,'ESTANDAR HORAS'!F3)</f>
        <v>0</v>
      </c>
      <c r="AG19" s="68">
        <f>COUNTIFS('MATRIZ TRAZA'!D6:D1048576,'ESTANDAR HORAS'!A8,'MATRIZ TRAZA'!E6:E1048576,'ESTANDAR HORAS'!B24,'MATRIZ TRAZA'!G6:G1048576,'ESTANDAR HORAS'!G3)</f>
        <v>0</v>
      </c>
      <c r="AH19" s="68">
        <f>COUNTIFS('MATRIZ TRAZA'!D6:D1048576,'ESTANDAR HORAS'!A8,'MATRIZ TRAZA'!E6:E1048576,'ESTANDAR HORAS'!B24,'MATRIZ TRAZA'!G6:G1048576,'ESTANDAR HORAS'!H3)</f>
        <v>0</v>
      </c>
      <c r="AI19" s="68">
        <f>COUNTIFS('MATRIZ TRAZA'!D6:D1048576,'ESTANDAR HORAS'!A8,'MATRIZ TRAZA'!E6:E1048576,'ESTANDAR HORAS'!B24,'MATRIZ TRAZA'!G6:G1048576,'ESTANDAR HORAS'!I3)</f>
        <v>0</v>
      </c>
      <c r="AJ19" s="68">
        <f>COUNTIFS('MATRIZ TRAZA'!D6:D1048576,'ESTANDAR HORAS'!A8,'MATRIZ TRAZA'!E6:E1048576,'ESTANDAR HORAS'!B24,'MATRIZ TRAZA'!G6:G1048576,'ESTANDAR HORAS'!J3)</f>
        <v>0</v>
      </c>
      <c r="AK19" s="68">
        <f>COUNTIFS('MATRIZ TRAZA'!D6:D1048576,'ESTANDAR HORAS'!A8,'MATRIZ TRAZA'!E6:E1048576,'ESTANDAR HORAS'!B24,'MATRIZ TRAZA'!G6:G1048576,'ESTANDAR HORAS'!K3)</f>
        <v>0</v>
      </c>
      <c r="AL19" s="68">
        <f>COUNTIFS('MATRIZ TRAZA'!D6:D1048576,'ESTANDAR HORAS'!A8,'MATRIZ TRAZA'!E6:E1048576,'ESTANDAR HORAS'!B7,'MATRIZ TRAZA'!G6:G1048576,'ESTANDAR HORAS'!C3)</f>
        <v>0</v>
      </c>
      <c r="AM19" s="68">
        <f>COUNTIFS('MATRIZ TRAZA'!D6:D1048576,'ESTANDAR HORAS'!A8,'MATRIZ TRAZA'!E6:E1048576,'ESTANDAR HORAS'!B7,'MATRIZ TRAZA'!G6:G1048576,'ESTANDAR HORAS'!D3)</f>
        <v>0</v>
      </c>
      <c r="AN19" s="68">
        <f>COUNTIFS('MATRIZ TRAZA'!D6:D1048576,'ESTANDAR HORAS'!A8,'MATRIZ TRAZA'!E6:E1048576,'ESTANDAR HORAS'!B7,'MATRIZ TRAZA'!G6:G1048576,'ESTANDAR HORAS'!E3)</f>
        <v>0</v>
      </c>
      <c r="AO19" s="68">
        <f>COUNTIFS('MATRIZ TRAZA'!D6:D1048576,'ESTANDAR HORAS'!A8,'MATRIZ TRAZA'!E6:E1048576,'ESTANDAR HORAS'!B7,'MATRIZ TRAZA'!G6:G1048576,'ESTANDAR HORAS'!F3)</f>
        <v>0</v>
      </c>
      <c r="AP19" s="68">
        <f>COUNTIFS('MATRIZ TRAZA'!D6:D1048576,'ESTANDAR HORAS'!A8,'MATRIZ TRAZA'!E6:E1048576,'ESTANDAR HORAS'!B7,'MATRIZ TRAZA'!G6:G1048576,'ESTANDAR HORAS'!G3)</f>
        <v>0</v>
      </c>
      <c r="AQ19" s="68">
        <f>COUNTIFS('MATRIZ TRAZA'!D6:D1048576,'ESTANDAR HORAS'!A8,'MATRIZ TRAZA'!E6:E1048576,'ESTANDAR HORAS'!B7,'MATRIZ TRAZA'!G6:G1048576,'ESTANDAR HORAS'!H3)</f>
        <v>0</v>
      </c>
      <c r="AR19" s="68">
        <f>COUNTIFS('MATRIZ TRAZA'!D6:D1048576,'ESTANDAR HORAS'!A8,'MATRIZ TRAZA'!E6:E1048576,'ESTANDAR HORAS'!B7,'MATRIZ TRAZA'!G6:G1048576,'ESTANDAR HORAS'!I3)</f>
        <v>0</v>
      </c>
      <c r="AS19" s="68">
        <f>COUNTIFS('MATRIZ TRAZA'!D6:D1048576,'ESTANDAR HORAS'!A8,'MATRIZ TRAZA'!E6:E1048576,'ESTANDAR HORAS'!B7,'MATRIZ TRAZA'!G6:G1048576,'ESTANDAR HORAS'!J3)</f>
        <v>0</v>
      </c>
      <c r="AT19" s="68">
        <f>COUNTIFS('MATRIZ TRAZA'!D6:D1048576,'ESTANDAR HORAS'!A8,'MATRIZ TRAZA'!E6:E1048576,'ESTANDAR HORAS'!B7,'MATRIZ TRAZA'!G6:G1048576,'ESTANDAR HORAS'!K3)</f>
        <v>0</v>
      </c>
      <c r="AU19" s="467"/>
      <c r="AV19" s="468"/>
      <c r="AW19" s="468"/>
      <c r="AX19" s="468"/>
      <c r="AY19" s="468"/>
      <c r="AZ19" s="468"/>
      <c r="BA19" s="468"/>
      <c r="BB19" s="468"/>
      <c r="BC19" s="469"/>
      <c r="BD19" s="467"/>
      <c r="BE19" s="468"/>
      <c r="BF19" s="468"/>
      <c r="BG19" s="468"/>
      <c r="BH19" s="468"/>
      <c r="BI19" s="468"/>
      <c r="BJ19" s="468"/>
      <c r="BK19" s="468"/>
      <c r="BL19" s="469"/>
      <c r="BM19" s="467"/>
      <c r="BN19" s="468"/>
      <c r="BO19" s="468"/>
      <c r="BP19" s="468"/>
      <c r="BQ19" s="468"/>
      <c r="BR19" s="468"/>
      <c r="BS19" s="468"/>
      <c r="BT19" s="468"/>
      <c r="BU19" s="469"/>
      <c r="BV19" s="467"/>
      <c r="BW19" s="468"/>
      <c r="BX19" s="468"/>
      <c r="BY19" s="468"/>
      <c r="BZ19" s="468"/>
      <c r="CA19" s="468"/>
      <c r="CB19" s="468"/>
      <c r="CC19" s="468"/>
      <c r="CD19" s="469"/>
      <c r="CE19" s="68">
        <f>COUNTIFS('MATRIZ TRAZA'!D6:D1048576,'ESTANDAR HORAS'!A8,'MATRIZ TRAZA'!E6:E1048576,'ESTANDAR HORAS'!B25,'MATRIZ TRAZA'!G6:G1048576,'ESTANDAR HORAS'!C3)</f>
        <v>0</v>
      </c>
      <c r="CF19" s="68">
        <f>COUNTIFS('MATRIZ TRAZA'!D6:D1048576,'ESTANDAR HORAS'!A8,'MATRIZ TRAZA'!E6:E1048576,'ESTANDAR HORAS'!B25,'MATRIZ TRAZA'!G6:G1048576,'ESTANDAR HORAS'!D3)</f>
        <v>0</v>
      </c>
      <c r="CG19" s="68">
        <f>COUNTIFS('MATRIZ TRAZA'!D6:D1048576,'ESTANDAR HORAS'!A8,'MATRIZ TRAZA'!E6:E1048576,'ESTANDAR HORAS'!B25,'MATRIZ TRAZA'!G6:G1048576,'ESTANDAR HORAS'!E3)</f>
        <v>0</v>
      </c>
      <c r="CH19" s="68">
        <f>COUNTIFS('MATRIZ TRAZA'!D6:D1048576,'ESTANDAR HORAS'!A8,'MATRIZ TRAZA'!E6:E1048576,'ESTANDAR HORAS'!B25,'MATRIZ TRAZA'!G6:G1048576,'ESTANDAR HORAS'!F3)</f>
        <v>0</v>
      </c>
      <c r="CI19" s="68">
        <f>COUNTIFS('MATRIZ TRAZA'!D6:D1048576,'ESTANDAR HORAS'!A8,'MATRIZ TRAZA'!E6:E1048576,'ESTANDAR HORAS'!B25,'MATRIZ TRAZA'!G6:G1048576,'ESTANDAR HORAS'!G3)</f>
        <v>0</v>
      </c>
      <c r="CJ19" s="68">
        <f>COUNTIFS('MATRIZ TRAZA'!D6:D1048576,'ESTANDAR HORAS'!A8,'MATRIZ TRAZA'!E6:E1048576,'ESTANDAR HORAS'!B25,'MATRIZ TRAZA'!G6:G1048576,'ESTANDAR HORAS'!H3)</f>
        <v>0</v>
      </c>
      <c r="CK19" s="68">
        <f>COUNTIFS('MATRIZ TRAZA'!D6:D1048576,'ESTANDAR HORAS'!A8,'MATRIZ TRAZA'!E6:E1048576,'ESTANDAR HORAS'!B25,'MATRIZ TRAZA'!G6:G1048576,'ESTANDAR HORAS'!I3)</f>
        <v>0</v>
      </c>
      <c r="CL19" s="68">
        <f>COUNTIFS('MATRIZ TRAZA'!D6:D1048576,'ESTANDAR HORAS'!A8,'MATRIZ TRAZA'!E6:E1048576,'ESTANDAR HORAS'!B25,'MATRIZ TRAZA'!G6:G1048576,'ESTANDAR HORAS'!J3)</f>
        <v>0</v>
      </c>
      <c r="CM19" s="68">
        <f>COUNTIFS('MATRIZ TRAZA'!D6:D1048576,'ESTANDAR HORAS'!A8,'MATRIZ TRAZA'!E6:E1048576,'ESTANDAR HORAS'!B25,'MATRIZ TRAZA'!G6:G1048576,'ESTANDAR HORAS'!K3)</f>
        <v>0</v>
      </c>
      <c r="CN19" s="131">
        <f>COUNTIFS('MATRIZ TRAZA'!D6:D1048576,'ESTANDAR HORAS'!A8,'MATRIZ TRAZA'!E6:E1048576,'ESTANDAR HORAS'!B9,'MATRIZ TRAZA'!G6:G1048576,'ESTANDAR HORAS'!C3)</f>
        <v>0</v>
      </c>
      <c r="CO19" s="131">
        <f>COUNTIFS('MATRIZ TRAZA'!D6:D1048576,'ESTANDAR HORAS'!A8,'MATRIZ TRAZA'!E6:E1048576,'ESTANDAR HORAS'!B9,'MATRIZ TRAZA'!G6:G1048576,'ESTANDAR HORAS'!D3)</f>
        <v>0</v>
      </c>
      <c r="CP19" s="131">
        <f>COUNTIFS('MATRIZ TRAZA'!D6:D1048576,'ESTANDAR HORAS'!A8,'MATRIZ TRAZA'!E6:E1048576,'ESTANDAR HORAS'!B9,'MATRIZ TRAZA'!G6:G1048576,'ESTANDAR HORAS'!E3)</f>
        <v>0</v>
      </c>
      <c r="CQ19" s="131">
        <f>COUNTIFS('MATRIZ TRAZA'!D6:D1048576,'ESTANDAR HORAS'!A8,'MATRIZ TRAZA'!E6:E1048576,'ESTANDAR HORAS'!B9,'MATRIZ TRAZA'!G6:G1048576,'ESTANDAR HORAS'!F3)</f>
        <v>0</v>
      </c>
      <c r="CR19" s="131">
        <f>COUNTIFS('MATRIZ TRAZA'!D6:D1048576,'ESTANDAR HORAS'!A8,'MATRIZ TRAZA'!E6:E1048576,'ESTANDAR HORAS'!B9,'MATRIZ TRAZA'!G6:G1048576,'ESTANDAR HORAS'!G3)</f>
        <v>0</v>
      </c>
      <c r="CS19" s="131">
        <f>COUNTIFS('MATRIZ TRAZA'!D6:D1048576,'ESTANDAR HORAS'!A8,'MATRIZ TRAZA'!E6:E1048576,'ESTANDAR HORAS'!B9,'MATRIZ TRAZA'!G6:G1048576,'ESTANDAR HORAS'!H3)</f>
        <v>0</v>
      </c>
      <c r="CT19" s="131">
        <f>COUNTIFS('MATRIZ TRAZA'!D6:D1048576,'ESTANDAR HORAS'!A8,'MATRIZ TRAZA'!E6:E1048576,'ESTANDAR HORAS'!B9,'MATRIZ TRAZA'!G6:G1048576,'ESTANDAR HORAS'!I3)</f>
        <v>0</v>
      </c>
      <c r="CU19" s="68">
        <f>COUNTIFS('MATRIZ TRAZA'!D6:D1048576,'ESTANDAR HORAS'!A8,'MATRIZ TRAZA'!E6:E1048576,'ESTANDAR HORAS'!B9,'MATRIZ TRAZA'!G6:G1048576,'ESTANDAR HORAS'!J3)</f>
        <v>0</v>
      </c>
      <c r="CV19" s="131">
        <f>COUNTIFS('MATRIZ TRAZA'!D6:D1048576,'ESTANDAR HORAS'!A8,'MATRIZ TRAZA'!E6:E1048576,'ESTANDAR HORAS'!B9,'MATRIZ TRAZA'!G6:G1048576,'ESTANDAR HORAS'!K3)</f>
        <v>0</v>
      </c>
      <c r="CW19" s="68">
        <f>COUNTIFS('MATRIZ TRAZA'!D6:D1048576,'ESTANDAR HORAS'!A8,'MATRIZ TRAZA'!E6:E1048576,'ESTANDAR HORAS'!B13,'MATRIZ TRAZA'!G6:G1048576,'ESTANDAR HORAS'!C3)</f>
        <v>0</v>
      </c>
      <c r="CX19" s="68">
        <f>COUNTIFS('MATRIZ TRAZA'!D6:D1048576,'ESTANDAR HORAS'!A8,'MATRIZ TRAZA'!E6:E1048576,'ESTANDAR HORAS'!B13,'MATRIZ TRAZA'!G6:G1048576,'ESTANDAR HORAS'!D3)</f>
        <v>0</v>
      </c>
      <c r="CY19" s="68">
        <f>COUNTIFS('MATRIZ TRAZA'!D6:D1048576,'ESTANDAR HORAS'!A8,'MATRIZ TRAZA'!E6:E1048576,'ESTANDAR HORAS'!B13,'MATRIZ TRAZA'!G6:G1048576,'ESTANDAR HORAS'!E3)</f>
        <v>0</v>
      </c>
      <c r="CZ19" s="68">
        <f>COUNTIFS('MATRIZ TRAZA'!D6:D1048576,'ESTANDAR HORAS'!A8,'MATRIZ TRAZA'!E6:E1048576,'ESTANDAR HORAS'!B13,'MATRIZ TRAZA'!G6:G1048576,'ESTANDAR HORAS'!F3)</f>
        <v>0</v>
      </c>
      <c r="DA19" s="68">
        <f>COUNTIFS('MATRIZ TRAZA'!D6:D1048576,'ESTANDAR HORAS'!A8,'MATRIZ TRAZA'!E6:E1048576,'ESTANDAR HORAS'!B13,'MATRIZ TRAZA'!G6:G1048576,'ESTANDAR HORAS'!G3)</f>
        <v>0</v>
      </c>
      <c r="DB19" s="68">
        <f>COUNTIFS('MATRIZ TRAZA'!D6:D1048576,'ESTANDAR HORAS'!A8,'MATRIZ TRAZA'!E6:E1048576,'ESTANDAR HORAS'!B13,'MATRIZ TRAZA'!G6:G1048576,'ESTANDAR HORAS'!H3)</f>
        <v>0</v>
      </c>
      <c r="DC19" s="68">
        <f>COUNTIFS('MATRIZ TRAZA'!D6:D1048576,'ESTANDAR HORAS'!A8,'MATRIZ TRAZA'!E6:E1048576,'ESTANDAR HORAS'!B13,'MATRIZ TRAZA'!G6:G1048576,'ESTANDAR HORAS'!I3)</f>
        <v>0</v>
      </c>
      <c r="DD19" s="68">
        <f>COUNTIFS('MATRIZ TRAZA'!D6:D1048576,'ESTANDAR HORAS'!A8,'MATRIZ TRAZA'!E6:E1048576,'ESTANDAR HORAS'!B13,'MATRIZ TRAZA'!G6:G1048576,'ESTANDAR HORAS'!J3)</f>
        <v>0</v>
      </c>
      <c r="DE19" s="68">
        <f>COUNTIFS('MATRIZ TRAZA'!D6:D1048576,'ESTANDAR HORAS'!A8,'MATRIZ TRAZA'!E6:E1048576,'ESTANDAR HORAS'!B13,'MATRIZ TRAZA'!G6:G1048576,'ESTANDAR HORAS'!K3)</f>
        <v>0</v>
      </c>
      <c r="DF19" s="467"/>
      <c r="DG19" s="468"/>
      <c r="DH19" s="468"/>
      <c r="DI19" s="468"/>
      <c r="DJ19" s="468"/>
      <c r="DK19" s="468"/>
      <c r="DL19" s="468"/>
      <c r="DM19" s="468"/>
      <c r="DN19" s="469"/>
      <c r="DO19" s="467"/>
      <c r="DP19" s="468"/>
      <c r="DQ19" s="468"/>
      <c r="DR19" s="468"/>
      <c r="DS19" s="468"/>
      <c r="DT19" s="468"/>
      <c r="DU19" s="468"/>
      <c r="DV19" s="468"/>
      <c r="DW19" s="469"/>
      <c r="DX19" s="91">
        <f>COUNTIFS('MATRIZ TRAZA'!D6:D1048576,'ESTANDAR HORAS'!A8,'MATRIZ TRAZA'!E6:E1048576,'ESTANDAR HORAS'!B14,'MATRIZ TRAZA'!G6:G1048576,'ESTANDAR HORAS'!C3)</f>
        <v>0</v>
      </c>
      <c r="DY19" s="91">
        <f>COUNTIFS('MATRIZ TRAZA'!D6:D1048576,'ESTANDAR HORAS'!A8,'MATRIZ TRAZA'!E6:E1048576,'ESTANDAR HORAS'!B14,'MATRIZ TRAZA'!G6:G1048576,'ESTANDAR HORAS'!D3)</f>
        <v>0</v>
      </c>
      <c r="DZ19" s="91">
        <f>COUNTIFS('MATRIZ TRAZA'!D6:D1048576,'ESTANDAR HORAS'!A8,'MATRIZ TRAZA'!E6:E1048576,'ESTANDAR HORAS'!B14,'MATRIZ TRAZA'!G6:G1048576,'ESTANDAR HORAS'!E3)</f>
        <v>0</v>
      </c>
      <c r="EA19" s="91">
        <f>COUNTIFS('MATRIZ TRAZA'!D6:D1048576,'ESTANDAR HORAS'!A8,'MATRIZ TRAZA'!E6:E1048576,'ESTANDAR HORAS'!B14,'MATRIZ TRAZA'!G6:G1048576,'ESTANDAR HORAS'!F3)</f>
        <v>0</v>
      </c>
      <c r="EB19" s="91">
        <f>COUNTIFS('MATRIZ TRAZA'!D6:D1048576,'ESTANDAR HORAS'!A8,'MATRIZ TRAZA'!E6:E1048576,'ESTANDAR HORAS'!B14,'MATRIZ TRAZA'!G6:G1048576,'ESTANDAR HORAS'!G3)</f>
        <v>0</v>
      </c>
      <c r="EC19" s="91">
        <f>COUNTIFS('MATRIZ TRAZA'!D6:D1048576,'ESTANDAR HORAS'!A8,'MATRIZ TRAZA'!E6:E1048576,'ESTANDAR HORAS'!B14,'MATRIZ TRAZA'!G6:G1048576,'ESTANDAR HORAS'!H3)</f>
        <v>0</v>
      </c>
      <c r="ED19" s="91">
        <f>COUNTIFS('MATRIZ TRAZA'!D6:D1048576,'ESTANDAR HORAS'!A8,'MATRIZ TRAZA'!E6:E1048576,'ESTANDAR HORAS'!B14,'MATRIZ TRAZA'!G6:G1048576,'ESTANDAR HORAS'!I3)</f>
        <v>0</v>
      </c>
      <c r="EE19" s="91">
        <f>COUNTIFS('MATRIZ TRAZA'!D6:D1048576,'ESTANDAR HORAS'!A8,'MATRIZ TRAZA'!E6:E1048576,'ESTANDAR HORAS'!B14,'MATRIZ TRAZA'!G6:G1048576,'ESTANDAR HORAS'!J3)</f>
        <v>0</v>
      </c>
      <c r="EF19" s="91">
        <f>COUNTIFS('MATRIZ TRAZA'!D6:D1048576,'ESTANDAR HORAS'!A8,'MATRIZ TRAZA'!E6:E1048576,'ESTANDAR HORAS'!B14,'MATRIZ TRAZA'!G6:G1048576,'ESTANDAR HORAS'!K3)</f>
        <v>0</v>
      </c>
      <c r="EG19" s="91">
        <f>COUNTIFS('MATRIZ TRAZA'!D6:D1048576,'ESTANDAR HORAS'!A8,'MATRIZ TRAZA'!E6:E1048576,'ESTANDAR HORAS'!B18,'MATRIZ TRAZA'!G6:G1048576,'ESTANDAR HORAS'!C3)</f>
        <v>0</v>
      </c>
      <c r="EH19" s="91">
        <f>COUNTIFS('MATRIZ TRAZA'!D6:D1048576,'ESTANDAR HORAS'!A8,'MATRIZ TRAZA'!E6:E1048576,'ESTANDAR HORAS'!B18,'MATRIZ TRAZA'!G6:G1048576,'ESTANDAR HORAS'!D3)</f>
        <v>0</v>
      </c>
      <c r="EI19" s="91">
        <f>COUNTIFS('MATRIZ TRAZA'!D6:D1048576,'ESTANDAR HORAS'!A8,'MATRIZ TRAZA'!E6:E1048576,'ESTANDAR HORAS'!B18,'MATRIZ TRAZA'!G6:G1048576,'ESTANDAR HORAS'!E3)</f>
        <v>0</v>
      </c>
      <c r="EJ19" s="91">
        <f>COUNTIFS('MATRIZ TRAZA'!D6:D1048576,'ESTANDAR HORAS'!A8,'MATRIZ TRAZA'!E6:E1048576,'ESTANDAR HORAS'!B18,'MATRIZ TRAZA'!G6:G1048576,'ESTANDAR HORAS'!F3)</f>
        <v>0</v>
      </c>
      <c r="EK19" s="91">
        <f>COUNTIFS('MATRIZ TRAZA'!D6:D1048576,'ESTANDAR HORAS'!A8,'MATRIZ TRAZA'!E6:E1048576,'ESTANDAR HORAS'!B18,'MATRIZ TRAZA'!G6:G1048576,'ESTANDAR HORAS'!G3)</f>
        <v>0</v>
      </c>
      <c r="EL19" s="91">
        <f>COUNTIFS('MATRIZ TRAZA'!D6:D1048576,'ESTANDAR HORAS'!A8,'MATRIZ TRAZA'!E6:E1048576,'ESTANDAR HORAS'!B18,'MATRIZ TRAZA'!G6:G1048576,'ESTANDAR HORAS'!H3)</f>
        <v>0</v>
      </c>
      <c r="EM19" s="91">
        <f>COUNTIFS('MATRIZ TRAZA'!D6:D1048576,'ESTANDAR HORAS'!A8,'MATRIZ TRAZA'!E6:E1048576,'ESTANDAR HORAS'!B18,'MATRIZ TRAZA'!G6:G1048576,'ESTANDAR HORAS'!I3)</f>
        <v>0</v>
      </c>
      <c r="EN19" s="91">
        <f>COUNTIFS('MATRIZ TRAZA'!D6:D1048576,'ESTANDAR HORAS'!A8,'MATRIZ TRAZA'!E6:E1048576,'ESTANDAR HORAS'!B18,'MATRIZ TRAZA'!G6:G1048576,'ESTANDAR HORAS'!J3)</f>
        <v>0</v>
      </c>
      <c r="EO19" s="91">
        <f>COUNTIFS('MATRIZ TRAZA'!D6:D1048576,'ESTANDAR HORAS'!A8,'MATRIZ TRAZA'!E6:E1048576,'ESTANDAR HORAS'!B18,'MATRIZ TRAZA'!G6:G1048576,'ESTANDAR HORAS'!K3)</f>
        <v>0</v>
      </c>
      <c r="EP19" s="91">
        <f>COUNTIFS('MATRIZ TRAZA'!D6:D1048576,'ESTANDAR HORAS'!A8,'MATRIZ TRAZA'!E6:E1048576,'ESTANDAR HORAS'!B8,'MATRIZ TRAZA'!G6:G1048576,'ESTANDAR HORAS'!C3)</f>
        <v>0</v>
      </c>
      <c r="EQ19" s="91">
        <f>COUNTIFS('MATRIZ TRAZA'!D6:D1048576,'ESTANDAR HORAS'!A8,'MATRIZ TRAZA'!E6:E1048576,'ESTANDAR HORAS'!B8,'MATRIZ TRAZA'!G6:G1048576,'ESTANDAR HORAS'!D3)</f>
        <v>0</v>
      </c>
      <c r="ER19" s="91">
        <f>COUNTIFS('MATRIZ TRAZA'!D6:D1048576,'ESTANDAR HORAS'!A8,'MATRIZ TRAZA'!E6:E1048576,'ESTANDAR HORAS'!B8,'MATRIZ TRAZA'!G6:G1048576,'ESTANDAR HORAS'!E3)</f>
        <v>0</v>
      </c>
      <c r="ES19" s="91">
        <f>COUNTIFS('MATRIZ TRAZA'!D6:D1048576,'ESTANDAR HORAS'!A8,'MATRIZ TRAZA'!E6:E1048576,'ESTANDAR HORAS'!B8,'MATRIZ TRAZA'!G6:G1048576,'ESTANDAR HORAS'!F3)</f>
        <v>0</v>
      </c>
      <c r="ET19" s="91">
        <f>COUNTIFS('MATRIZ TRAZA'!D6:D1048576,'ESTANDAR HORAS'!A8,'MATRIZ TRAZA'!E6:E1048576,'ESTANDAR HORAS'!B8,'MATRIZ TRAZA'!G6:G1048576,'ESTANDAR HORAS'!G3)</f>
        <v>0</v>
      </c>
      <c r="EU19" s="91">
        <f>COUNTIFS('MATRIZ TRAZA'!D6:D1048576,'ESTANDAR HORAS'!A8,'MATRIZ TRAZA'!E6:E1048576,'ESTANDAR HORAS'!B8,'MATRIZ TRAZA'!G6:G1048576,'ESTANDAR HORAS'!H3)</f>
        <v>0</v>
      </c>
      <c r="EV19" s="91">
        <f>COUNTIFS('MATRIZ TRAZA'!D6:D1048576,'ESTANDAR HORAS'!A8,'MATRIZ TRAZA'!E6:E1048576,'ESTANDAR HORAS'!B8,'MATRIZ TRAZA'!G6:G1048576,'ESTANDAR HORAS'!I3)</f>
        <v>0</v>
      </c>
      <c r="EW19" s="91">
        <f>COUNTIFS('MATRIZ TRAZA'!D6:D1048576,'ESTANDAR HORAS'!A8,'MATRIZ TRAZA'!E6:E1048576,'ESTANDAR HORAS'!B8,'MATRIZ TRAZA'!G6:G1048576,'ESTANDAR HORAS'!J3)</f>
        <v>0</v>
      </c>
      <c r="EX19" s="91">
        <f>COUNTIFS('MATRIZ TRAZA'!D6:D1048576,'ESTANDAR HORAS'!A8,'MATRIZ TRAZA'!E6:E1048576,'ESTANDAR HORAS'!B8,'MATRIZ TRAZA'!G6:G1048576,'ESTANDAR HORAS'!K3)</f>
        <v>0</v>
      </c>
      <c r="EY19" s="467"/>
      <c r="EZ19" s="468"/>
      <c r="FA19" s="468"/>
      <c r="FB19" s="468"/>
      <c r="FC19" s="468"/>
      <c r="FD19" s="468"/>
      <c r="FE19" s="468"/>
      <c r="FF19" s="468"/>
      <c r="FG19" s="469"/>
      <c r="FH19" s="467"/>
      <c r="FI19" s="468"/>
      <c r="FJ19" s="468"/>
      <c r="FK19" s="468"/>
      <c r="FL19" s="468"/>
      <c r="FM19" s="468"/>
      <c r="FN19" s="468"/>
      <c r="FO19" s="468"/>
      <c r="FP19" s="469"/>
      <c r="FQ19" s="91">
        <f>COUNTIFS('MATRIZ TRAZA'!D6:D1048576,'ESTANDAR HORAS'!A8,'MATRIZ TRAZA'!E6:E1048576,'ESTANDAR HORAS'!B23,'MATRIZ TRAZA'!G6:G1048576,'ESTANDAR HORAS'!C3)</f>
        <v>0</v>
      </c>
      <c r="FR19" s="91">
        <f>COUNTIFS('MATRIZ TRAZA'!D6:D1048576,'ESTANDAR HORAS'!A8,'MATRIZ TRAZA'!E6:E1048576,'ESTANDAR HORAS'!B23,'MATRIZ TRAZA'!G6:G1048576,'ESTANDAR HORAS'!D3)</f>
        <v>0</v>
      </c>
      <c r="FS19" s="91">
        <f>COUNTIFS('MATRIZ TRAZA'!D6:D1048576,'ESTANDAR HORAS'!A8,'MATRIZ TRAZA'!E6:E1048576,'ESTANDAR HORAS'!B23,'MATRIZ TRAZA'!G6:G1048576,'ESTANDAR HORAS'!E3)</f>
        <v>0</v>
      </c>
      <c r="FT19" s="91">
        <f>COUNTIFS('MATRIZ TRAZA'!D6:D1048576,'ESTANDAR HORAS'!A8,'MATRIZ TRAZA'!E6:E1048576,'ESTANDAR HORAS'!B23,'MATRIZ TRAZA'!G6:G1048576,'ESTANDAR HORAS'!F3)</f>
        <v>0</v>
      </c>
      <c r="FU19" s="91">
        <f>COUNTIFS('MATRIZ TRAZA'!D6:D1048576,'ESTANDAR HORAS'!A8,'MATRIZ TRAZA'!E6:E1048576,'ESTANDAR HORAS'!B23,'MATRIZ TRAZA'!G6:G1048576,'ESTANDAR HORAS'!G3)</f>
        <v>0</v>
      </c>
      <c r="FV19" s="91">
        <f>COUNTIFS('MATRIZ TRAZA'!D6:D1048576,'ESTANDAR HORAS'!A8,'MATRIZ TRAZA'!E6:E1048576,'ESTANDAR HORAS'!B23,'MATRIZ TRAZA'!G6:G1048576,'ESTANDAR HORAS'!H3)</f>
        <v>0</v>
      </c>
      <c r="FW19" s="91">
        <f>COUNTIFS('MATRIZ TRAZA'!D6:D1048576,'ESTANDAR HORAS'!A8,'MATRIZ TRAZA'!E6:E1048576,'ESTANDAR HORAS'!B23,'MATRIZ TRAZA'!G6:G1048576,'ESTANDAR HORAS'!I3)</f>
        <v>0</v>
      </c>
      <c r="FX19" s="91">
        <f>COUNTIFS('MATRIZ TRAZA'!D6:D1048576,'ESTANDAR HORAS'!A8,'MATRIZ TRAZA'!E6:E1048576,'ESTANDAR HORAS'!B23,'MATRIZ TRAZA'!G6:G1048576,'ESTANDAR HORAS'!J3)</f>
        <v>0</v>
      </c>
      <c r="FY19" s="91">
        <f>COUNTIFS('MATRIZ TRAZA'!D6:D1048576,'ESTANDAR HORAS'!A8,'MATRIZ TRAZA'!E6:E1048576,'ESTANDAR HORAS'!B23,'MATRIZ TRAZA'!G6:G1048576,'ESTANDAR HORAS'!K3)</f>
        <v>0</v>
      </c>
      <c r="FZ19" s="91">
        <f>COUNTIFS('MATRIZ TRAZA'!D6:D1048576,'ESTANDAR HORAS'!A8,'MATRIZ TRAZA'!E6:E1048576,'ESTANDAR HORAS'!B22,'MATRIZ TRAZA'!G6:G1048576,'ESTANDAR HORAS'!C3)</f>
        <v>0</v>
      </c>
      <c r="GA19" s="91">
        <f>COUNTIFS('MATRIZ TRAZA'!D6:D1048576,'ESTANDAR HORAS'!A8,'MATRIZ TRAZA'!E6:E1048576,'ESTANDAR HORAS'!B22,'MATRIZ TRAZA'!G6:G1048576,'ESTANDAR HORAS'!D3)</f>
        <v>0</v>
      </c>
      <c r="GB19" s="91">
        <f>COUNTIFS('MATRIZ TRAZA'!D6:D1048576,'ESTANDAR HORAS'!A8,'MATRIZ TRAZA'!E6:E1048576,'ESTANDAR HORAS'!B22,'MATRIZ TRAZA'!G6:G1048576,'ESTANDAR HORAS'!E3)</f>
        <v>0</v>
      </c>
      <c r="GC19" s="91">
        <f>COUNTIFS('MATRIZ TRAZA'!D6:D1048576,'ESTANDAR HORAS'!A8,'MATRIZ TRAZA'!E6:E1048576,'ESTANDAR HORAS'!B22,'MATRIZ TRAZA'!G6:G1048576,'ESTANDAR HORAS'!F3)</f>
        <v>0</v>
      </c>
      <c r="GD19" s="91">
        <f>COUNTIFS('MATRIZ TRAZA'!D6:D1048576,'ESTANDAR HORAS'!A8,'MATRIZ TRAZA'!E6:E1048576,'ESTANDAR HORAS'!B22,'MATRIZ TRAZA'!G6:G1048576,'ESTANDAR HORAS'!G3)</f>
        <v>0</v>
      </c>
      <c r="GE19" s="91">
        <f>COUNTIFS('MATRIZ TRAZA'!D6:D1048576,'ESTANDAR HORAS'!A8,'MATRIZ TRAZA'!E6:E1048576,'ESTANDAR HORAS'!B22,'MATRIZ TRAZA'!G6:G1048576,'ESTANDAR HORAS'!H3)</f>
        <v>0</v>
      </c>
      <c r="GF19" s="91">
        <f>COUNTIFS('MATRIZ TRAZA'!D6:D1048576,'ESTANDAR HORAS'!A8,'MATRIZ TRAZA'!E6:E1048576,'ESTANDAR HORAS'!B22,'MATRIZ TRAZA'!G6:G1048576,'ESTANDAR HORAS'!I3)</f>
        <v>0</v>
      </c>
      <c r="GG19" s="91">
        <f>COUNTIFS('MATRIZ TRAZA'!D6:D1048576,'ESTANDAR HORAS'!A8,'MATRIZ TRAZA'!E6:E1048576,'ESTANDAR HORAS'!B22,'MATRIZ TRAZA'!G6:G1048576,'ESTANDAR HORAS'!J3)</f>
        <v>0</v>
      </c>
      <c r="GH19" s="91">
        <f>COUNTIFS('MATRIZ TRAZA'!D6:D1048576,'ESTANDAR HORAS'!A8,'MATRIZ TRAZA'!E6:E1048576,'ESTANDAR HORAS'!B22,'MATRIZ TRAZA'!G6:G1048576,'ESTANDAR HORAS'!K3)</f>
        <v>0</v>
      </c>
      <c r="GI19" s="455"/>
      <c r="GJ19" s="456"/>
      <c r="GK19" s="457"/>
      <c r="GL19" s="69">
        <f>SUM(B19:GH19)</f>
        <v>0</v>
      </c>
      <c r="GM19" s="5"/>
      <c r="GN19" s="164">
        <f>$GL20*GN13%</f>
        <v>0</v>
      </c>
      <c r="GO19" s="164">
        <f>$GL20*GO13%</f>
        <v>0</v>
      </c>
      <c r="GP19" s="164">
        <f>$GL20*GP13%</f>
        <v>0</v>
      </c>
      <c r="GQ19" s="164">
        <f>IF('ESTIMACIÓN '!Q31="SI",($GL20-CN21)*GQ13%,0)</f>
        <v>0</v>
      </c>
      <c r="GR19" s="164">
        <f>($GL20-CN21)*GR13%</f>
        <v>0</v>
      </c>
      <c r="GS19" s="164">
        <f>$GL20*GS5%</f>
        <v>0</v>
      </c>
      <c r="GT19" s="70">
        <f>SUM(GN19:GS19)</f>
        <v>0</v>
      </c>
    </row>
    <row r="20" spans="1:203" ht="13.5" customHeight="1" x14ac:dyDescent="0.3">
      <c r="A20" s="41" t="s">
        <v>240</v>
      </c>
      <c r="B20" s="470"/>
      <c r="C20" s="471"/>
      <c r="D20" s="471"/>
      <c r="E20" s="471"/>
      <c r="F20" s="471"/>
      <c r="G20" s="471"/>
      <c r="H20" s="471"/>
      <c r="I20" s="471"/>
      <c r="J20" s="472"/>
      <c r="K20" s="470"/>
      <c r="L20" s="471"/>
      <c r="M20" s="471"/>
      <c r="N20" s="471"/>
      <c r="O20" s="471"/>
      <c r="P20" s="471"/>
      <c r="Q20" s="471"/>
      <c r="R20" s="471"/>
      <c r="S20" s="472"/>
      <c r="T20" s="470"/>
      <c r="U20" s="471"/>
      <c r="V20" s="471"/>
      <c r="W20" s="471"/>
      <c r="X20" s="471"/>
      <c r="Y20" s="471"/>
      <c r="Z20" s="471"/>
      <c r="AA20" s="471"/>
      <c r="AB20" s="472"/>
      <c r="AC20" s="53">
        <f t="shared" ref="AC20:AK20" si="4">AC19*AC18</f>
        <v>0</v>
      </c>
      <c r="AD20" s="53">
        <f t="shared" si="4"/>
        <v>0</v>
      </c>
      <c r="AE20" s="53">
        <f t="shared" si="4"/>
        <v>0</v>
      </c>
      <c r="AF20" s="53">
        <f t="shared" si="4"/>
        <v>0</v>
      </c>
      <c r="AG20" s="53">
        <f t="shared" si="4"/>
        <v>0</v>
      </c>
      <c r="AH20" s="53">
        <f t="shared" si="4"/>
        <v>0</v>
      </c>
      <c r="AI20" s="53">
        <f t="shared" si="4"/>
        <v>0</v>
      </c>
      <c r="AJ20" s="53">
        <f t="shared" si="4"/>
        <v>0</v>
      </c>
      <c r="AK20" s="53">
        <f t="shared" si="4"/>
        <v>0</v>
      </c>
      <c r="AL20" s="53">
        <f>AL19*AL18</f>
        <v>0</v>
      </c>
      <c r="AM20" s="53">
        <f t="shared" ref="AM20:AT20" si="5">AM19*AM18</f>
        <v>0</v>
      </c>
      <c r="AN20" s="53">
        <f t="shared" si="5"/>
        <v>0</v>
      </c>
      <c r="AO20" s="53">
        <f t="shared" si="5"/>
        <v>0</v>
      </c>
      <c r="AP20" s="53">
        <f t="shared" si="5"/>
        <v>0</v>
      </c>
      <c r="AQ20" s="53">
        <f t="shared" si="5"/>
        <v>0</v>
      </c>
      <c r="AR20" s="53">
        <f t="shared" si="5"/>
        <v>0</v>
      </c>
      <c r="AS20" s="53">
        <f t="shared" si="5"/>
        <v>0</v>
      </c>
      <c r="AT20" s="53">
        <f t="shared" si="5"/>
        <v>0</v>
      </c>
      <c r="AU20" s="470"/>
      <c r="AV20" s="471"/>
      <c r="AW20" s="471"/>
      <c r="AX20" s="471"/>
      <c r="AY20" s="471"/>
      <c r="AZ20" s="471"/>
      <c r="BA20" s="471"/>
      <c r="BB20" s="471"/>
      <c r="BC20" s="472"/>
      <c r="BD20" s="470"/>
      <c r="BE20" s="471"/>
      <c r="BF20" s="471"/>
      <c r="BG20" s="471"/>
      <c r="BH20" s="471"/>
      <c r="BI20" s="471"/>
      <c r="BJ20" s="471"/>
      <c r="BK20" s="471"/>
      <c r="BL20" s="472"/>
      <c r="BM20" s="470"/>
      <c r="BN20" s="471"/>
      <c r="BO20" s="471"/>
      <c r="BP20" s="471"/>
      <c r="BQ20" s="471"/>
      <c r="BR20" s="471"/>
      <c r="BS20" s="471"/>
      <c r="BT20" s="471"/>
      <c r="BU20" s="472"/>
      <c r="BV20" s="470"/>
      <c r="BW20" s="471"/>
      <c r="BX20" s="471"/>
      <c r="BY20" s="471"/>
      <c r="BZ20" s="471"/>
      <c r="CA20" s="471"/>
      <c r="CB20" s="471"/>
      <c r="CC20" s="471"/>
      <c r="CD20" s="472"/>
      <c r="CE20" s="53">
        <f>CE19*CE18</f>
        <v>0</v>
      </c>
      <c r="CF20" s="53">
        <f t="shared" ref="CF20:DE20" si="6">CF19*CF18</f>
        <v>0</v>
      </c>
      <c r="CG20" s="53">
        <f t="shared" si="6"/>
        <v>0</v>
      </c>
      <c r="CH20" s="53">
        <f t="shared" si="6"/>
        <v>0</v>
      </c>
      <c r="CI20" s="53">
        <f t="shared" si="6"/>
        <v>0</v>
      </c>
      <c r="CJ20" s="53">
        <f t="shared" si="6"/>
        <v>0</v>
      </c>
      <c r="CK20" s="53">
        <f t="shared" si="6"/>
        <v>0</v>
      </c>
      <c r="CL20" s="53">
        <f t="shared" si="6"/>
        <v>0</v>
      </c>
      <c r="CM20" s="53">
        <f t="shared" si="6"/>
        <v>0</v>
      </c>
      <c r="CN20" s="53">
        <f t="shared" si="6"/>
        <v>0</v>
      </c>
      <c r="CO20" s="53">
        <f t="shared" si="6"/>
        <v>0</v>
      </c>
      <c r="CP20" s="53">
        <f t="shared" si="6"/>
        <v>0</v>
      </c>
      <c r="CQ20" s="53">
        <f t="shared" si="6"/>
        <v>0</v>
      </c>
      <c r="CR20" s="53">
        <f t="shared" si="6"/>
        <v>0</v>
      </c>
      <c r="CS20" s="53">
        <f t="shared" si="6"/>
        <v>0</v>
      </c>
      <c r="CT20" s="53">
        <f t="shared" si="6"/>
        <v>0</v>
      </c>
      <c r="CU20" s="53">
        <f t="shared" si="6"/>
        <v>0</v>
      </c>
      <c r="CV20" s="53">
        <f t="shared" si="6"/>
        <v>0</v>
      </c>
      <c r="CW20" s="53">
        <f t="shared" si="6"/>
        <v>0</v>
      </c>
      <c r="CX20" s="53">
        <f t="shared" si="6"/>
        <v>0</v>
      </c>
      <c r="CY20" s="53">
        <f t="shared" si="6"/>
        <v>0</v>
      </c>
      <c r="CZ20" s="53">
        <f t="shared" si="6"/>
        <v>0</v>
      </c>
      <c r="DA20" s="53">
        <f t="shared" si="6"/>
        <v>0</v>
      </c>
      <c r="DB20" s="53">
        <f t="shared" si="6"/>
        <v>0</v>
      </c>
      <c r="DC20" s="53">
        <f t="shared" si="6"/>
        <v>0</v>
      </c>
      <c r="DD20" s="53">
        <f t="shared" si="6"/>
        <v>0</v>
      </c>
      <c r="DE20" s="53">
        <f t="shared" si="6"/>
        <v>0</v>
      </c>
      <c r="DF20" s="470"/>
      <c r="DG20" s="471"/>
      <c r="DH20" s="471"/>
      <c r="DI20" s="471"/>
      <c r="DJ20" s="471"/>
      <c r="DK20" s="471"/>
      <c r="DL20" s="471"/>
      <c r="DM20" s="471"/>
      <c r="DN20" s="472"/>
      <c r="DO20" s="470"/>
      <c r="DP20" s="471"/>
      <c r="DQ20" s="471"/>
      <c r="DR20" s="471"/>
      <c r="DS20" s="471"/>
      <c r="DT20" s="471"/>
      <c r="DU20" s="471"/>
      <c r="DV20" s="471"/>
      <c r="DW20" s="472"/>
      <c r="DX20" s="89">
        <f>DX18*DX19</f>
        <v>0</v>
      </c>
      <c r="DY20" s="89">
        <f t="shared" ref="DY20:EX20" si="7">DY18*DY19</f>
        <v>0</v>
      </c>
      <c r="DZ20" s="89">
        <f t="shared" si="7"/>
        <v>0</v>
      </c>
      <c r="EA20" s="89">
        <f t="shared" si="7"/>
        <v>0</v>
      </c>
      <c r="EB20" s="89">
        <f t="shared" si="7"/>
        <v>0</v>
      </c>
      <c r="EC20" s="89">
        <f t="shared" si="7"/>
        <v>0</v>
      </c>
      <c r="ED20" s="89">
        <f t="shared" si="7"/>
        <v>0</v>
      </c>
      <c r="EE20" s="89">
        <f t="shared" si="7"/>
        <v>0</v>
      </c>
      <c r="EF20" s="89">
        <f t="shared" si="7"/>
        <v>0</v>
      </c>
      <c r="EG20" s="89">
        <f t="shared" si="7"/>
        <v>0</v>
      </c>
      <c r="EH20" s="89">
        <f t="shared" si="7"/>
        <v>0</v>
      </c>
      <c r="EI20" s="89">
        <f t="shared" si="7"/>
        <v>0</v>
      </c>
      <c r="EJ20" s="89">
        <f t="shared" si="7"/>
        <v>0</v>
      </c>
      <c r="EK20" s="89">
        <f t="shared" si="7"/>
        <v>0</v>
      </c>
      <c r="EL20" s="89">
        <f t="shared" si="7"/>
        <v>0</v>
      </c>
      <c r="EM20" s="89">
        <f t="shared" si="7"/>
        <v>0</v>
      </c>
      <c r="EN20" s="89">
        <f t="shared" si="7"/>
        <v>0</v>
      </c>
      <c r="EO20" s="89">
        <f t="shared" si="7"/>
        <v>0</v>
      </c>
      <c r="EP20" s="89">
        <f t="shared" si="7"/>
        <v>0</v>
      </c>
      <c r="EQ20" s="89">
        <f t="shared" si="7"/>
        <v>0</v>
      </c>
      <c r="ER20" s="89">
        <f t="shared" si="7"/>
        <v>0</v>
      </c>
      <c r="ES20" s="89">
        <f t="shared" si="7"/>
        <v>0</v>
      </c>
      <c r="ET20" s="89">
        <f t="shared" si="7"/>
        <v>0</v>
      </c>
      <c r="EU20" s="89">
        <f t="shared" si="7"/>
        <v>0</v>
      </c>
      <c r="EV20" s="89">
        <f t="shared" si="7"/>
        <v>0</v>
      </c>
      <c r="EW20" s="89">
        <f t="shared" si="7"/>
        <v>0</v>
      </c>
      <c r="EX20" s="89">
        <f t="shared" si="7"/>
        <v>0</v>
      </c>
      <c r="EY20" s="470"/>
      <c r="EZ20" s="471"/>
      <c r="FA20" s="471"/>
      <c r="FB20" s="471"/>
      <c r="FC20" s="471"/>
      <c r="FD20" s="471"/>
      <c r="FE20" s="471"/>
      <c r="FF20" s="471"/>
      <c r="FG20" s="472"/>
      <c r="FH20" s="470"/>
      <c r="FI20" s="471"/>
      <c r="FJ20" s="471"/>
      <c r="FK20" s="471"/>
      <c r="FL20" s="471"/>
      <c r="FM20" s="471"/>
      <c r="FN20" s="471"/>
      <c r="FO20" s="471"/>
      <c r="FP20" s="472"/>
      <c r="FQ20" s="99">
        <f>FQ19*FQ18</f>
        <v>0</v>
      </c>
      <c r="FR20" s="99">
        <f t="shared" ref="FR20:FY20" si="8">FR19*FR18</f>
        <v>0</v>
      </c>
      <c r="FS20" s="99">
        <f t="shared" si="8"/>
        <v>0</v>
      </c>
      <c r="FT20" s="99">
        <f t="shared" si="8"/>
        <v>0</v>
      </c>
      <c r="FU20" s="99">
        <f t="shared" si="8"/>
        <v>0</v>
      </c>
      <c r="FV20" s="99">
        <f t="shared" si="8"/>
        <v>0</v>
      </c>
      <c r="FW20" s="99">
        <f t="shared" si="8"/>
        <v>0</v>
      </c>
      <c r="FX20" s="99">
        <f t="shared" si="8"/>
        <v>0</v>
      </c>
      <c r="FY20" s="99">
        <f t="shared" si="8"/>
        <v>0</v>
      </c>
      <c r="FZ20" s="99">
        <f>FZ19*FZ18</f>
        <v>0</v>
      </c>
      <c r="GA20" s="99">
        <f t="shared" ref="GA20:GH20" si="9">GA19*GA18</f>
        <v>0</v>
      </c>
      <c r="GB20" s="99">
        <f t="shared" si="9"/>
        <v>0</v>
      </c>
      <c r="GC20" s="99">
        <f t="shared" si="9"/>
        <v>0</v>
      </c>
      <c r="GD20" s="99">
        <f t="shared" si="9"/>
        <v>0</v>
      </c>
      <c r="GE20" s="99">
        <f t="shared" si="9"/>
        <v>0</v>
      </c>
      <c r="GF20" s="99">
        <f t="shared" si="9"/>
        <v>0</v>
      </c>
      <c r="GG20" s="99">
        <f t="shared" si="9"/>
        <v>0</v>
      </c>
      <c r="GH20" s="99">
        <f t="shared" si="9"/>
        <v>0</v>
      </c>
      <c r="GI20" s="458"/>
      <c r="GJ20" s="459"/>
      <c r="GK20" s="460"/>
      <c r="GL20" s="162">
        <f>SUM(B20:GH20)/60</f>
        <v>0</v>
      </c>
      <c r="GM20" s="74"/>
      <c r="GN20" s="444" t="s">
        <v>235</v>
      </c>
      <c r="GO20" s="444"/>
      <c r="GP20" s="444"/>
      <c r="GQ20" s="444"/>
      <c r="GR20" s="444"/>
      <c r="GS20" s="444"/>
      <c r="GT20" s="444"/>
      <c r="GU20" s="5"/>
    </row>
    <row r="21" spans="1:203" s="5" customFormat="1" ht="13.5" customHeight="1" x14ac:dyDescent="0.3">
      <c r="A21" s="62"/>
      <c r="B21" s="63"/>
      <c r="C21" s="63"/>
      <c r="D21" s="63"/>
      <c r="E21" s="63"/>
      <c r="F21" s="63"/>
      <c r="G21" s="63"/>
      <c r="H21" s="63"/>
      <c r="I21" s="63"/>
      <c r="J21" s="63"/>
      <c r="K21" s="64"/>
      <c r="L21" s="64"/>
      <c r="M21" s="64"/>
      <c r="N21" s="64"/>
      <c r="O21" s="64"/>
      <c r="P21" s="64"/>
      <c r="Q21" s="64"/>
      <c r="R21" s="64"/>
      <c r="S21" s="64"/>
      <c r="T21" s="63"/>
      <c r="U21" s="63"/>
      <c r="V21" s="63"/>
      <c r="W21" s="63"/>
      <c r="X21" s="63"/>
      <c r="Y21" s="63"/>
      <c r="Z21" s="63"/>
      <c r="AA21" s="63"/>
      <c r="AB21" s="63"/>
      <c r="AC21" s="65"/>
      <c r="AD21" s="65"/>
      <c r="AE21" s="65"/>
      <c r="AF21" s="65"/>
      <c r="AG21" s="65"/>
      <c r="AH21" s="65"/>
      <c r="AI21" s="65"/>
      <c r="AJ21" s="65"/>
      <c r="AK21" s="65"/>
      <c r="AL21" s="65"/>
      <c r="AM21" s="65"/>
      <c r="AN21" s="65"/>
      <c r="AO21" s="65"/>
      <c r="AP21" s="65"/>
      <c r="AQ21" s="65"/>
      <c r="AR21" s="65"/>
      <c r="AS21" s="65"/>
      <c r="AT21" s="65"/>
      <c r="AU21" s="65"/>
      <c r="AV21" s="65"/>
      <c r="AW21" s="65"/>
      <c r="AX21" s="65"/>
      <c r="AY21" s="65"/>
      <c r="AZ21" s="65"/>
      <c r="BA21" s="65"/>
      <c r="BB21" s="65"/>
      <c r="BC21" s="65"/>
      <c r="BD21" s="65"/>
      <c r="BE21" s="65"/>
      <c r="BF21" s="65"/>
      <c r="BG21" s="65"/>
      <c r="BH21" s="65"/>
      <c r="BI21" s="65"/>
      <c r="BJ21" s="65"/>
      <c r="BK21" s="65"/>
      <c r="BL21" s="65"/>
      <c r="BM21" s="65"/>
      <c r="BN21" s="65"/>
      <c r="BO21" s="65"/>
      <c r="BP21" s="65"/>
      <c r="BQ21" s="65"/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/>
      <c r="CC21" s="65"/>
      <c r="CD21" s="65"/>
      <c r="CE21" s="65"/>
      <c r="CF21" s="65"/>
      <c r="CG21" s="65"/>
      <c r="CH21" s="65"/>
      <c r="CI21" s="65"/>
      <c r="CJ21" s="65"/>
      <c r="CK21" s="65"/>
      <c r="CL21" s="65"/>
      <c r="CM21" s="65"/>
      <c r="CN21" s="505">
        <f>(SUM(CN20:DE20))/60</f>
        <v>0</v>
      </c>
      <c r="CO21" s="505"/>
      <c r="CP21" s="505"/>
      <c r="CQ21" s="505"/>
      <c r="CR21" s="505"/>
      <c r="CS21" s="505"/>
      <c r="CT21" s="505"/>
      <c r="CU21" s="505"/>
      <c r="CV21" s="505"/>
      <c r="CW21" s="505"/>
      <c r="CX21" s="505"/>
      <c r="CY21" s="505"/>
      <c r="CZ21" s="505"/>
      <c r="DA21" s="505"/>
      <c r="DB21" s="505"/>
      <c r="DC21" s="505"/>
      <c r="DD21" s="505"/>
      <c r="DE21" s="505"/>
      <c r="DF21" s="65"/>
      <c r="DG21" s="65"/>
      <c r="DH21" s="65"/>
      <c r="DI21" s="65"/>
      <c r="DJ21" s="65"/>
      <c r="DK21" s="65"/>
      <c r="DL21" s="65"/>
      <c r="DM21" s="65"/>
      <c r="DN21" s="65"/>
      <c r="DO21" s="65"/>
      <c r="DP21" s="65"/>
      <c r="DQ21" s="65"/>
      <c r="DR21" s="65"/>
      <c r="DS21" s="65"/>
      <c r="DT21" s="65"/>
      <c r="DU21" s="65"/>
      <c r="DV21" s="65"/>
      <c r="DW21" s="65"/>
      <c r="DX21" s="65"/>
      <c r="DY21" s="65"/>
      <c r="DZ21" s="65"/>
      <c r="EA21" s="65"/>
      <c r="EB21" s="65"/>
      <c r="EC21" s="65"/>
      <c r="ED21" s="65"/>
      <c r="EE21" s="65"/>
      <c r="EF21" s="65"/>
      <c r="EG21" s="65"/>
      <c r="EH21" s="65"/>
      <c r="EI21" s="65"/>
      <c r="EJ21" s="65"/>
      <c r="EK21" s="65"/>
      <c r="EL21" s="65"/>
      <c r="EM21" s="65"/>
      <c r="EN21" s="65"/>
      <c r="EO21" s="65"/>
      <c r="EP21" s="65"/>
      <c r="EQ21" s="65"/>
      <c r="ER21" s="65"/>
      <c r="ES21" s="65"/>
      <c r="ET21" s="65"/>
      <c r="EU21" s="65"/>
      <c r="EV21" s="65"/>
      <c r="EW21" s="65"/>
      <c r="EX21" s="65"/>
      <c r="EY21" s="65"/>
      <c r="EZ21" s="65"/>
      <c r="FA21" s="65"/>
      <c r="FB21" s="65"/>
      <c r="FC21" s="65"/>
      <c r="FD21" s="65"/>
      <c r="FE21" s="65"/>
      <c r="FF21" s="65"/>
      <c r="FG21" s="65"/>
      <c r="FH21" s="65"/>
      <c r="FI21" s="65"/>
      <c r="FJ21" s="65"/>
      <c r="FK21" s="65"/>
      <c r="FL21" s="65"/>
      <c r="FM21" s="65"/>
      <c r="FN21" s="65"/>
      <c r="FO21" s="65"/>
      <c r="FP21" s="65"/>
      <c r="FQ21" s="65"/>
      <c r="FR21" s="65"/>
      <c r="FS21" s="65"/>
      <c r="FT21" s="65"/>
      <c r="FU21" s="65"/>
      <c r="FV21" s="65"/>
      <c r="FW21" s="65"/>
      <c r="FX21" s="65"/>
      <c r="FY21" s="65"/>
      <c r="FZ21" s="65"/>
      <c r="GA21" s="65"/>
      <c r="GB21" s="65"/>
      <c r="GC21" s="65"/>
      <c r="GD21" s="65"/>
      <c r="GE21" s="65"/>
      <c r="GF21" s="65"/>
      <c r="GG21" s="65"/>
      <c r="GH21" s="65"/>
      <c r="GI21" s="65"/>
      <c r="GJ21" s="65"/>
      <c r="GK21" s="65"/>
      <c r="GL21" s="66"/>
      <c r="GN21" s="165">
        <f>SUM(GN8,GN19)</f>
        <v>0</v>
      </c>
      <c r="GO21" s="165">
        <f>SUM(GO8,,GO19)</f>
        <v>0</v>
      </c>
      <c r="GP21" s="165">
        <f>SUM(GP8,GP19)</f>
        <v>0</v>
      </c>
      <c r="GQ21" s="165">
        <f>SUM(GQ8,GQ19)</f>
        <v>0</v>
      </c>
      <c r="GR21" s="165">
        <f>SUM(GR8,GR19)</f>
        <v>0</v>
      </c>
      <c r="GS21" s="165">
        <f>SUM(GS8,GS19)</f>
        <v>0</v>
      </c>
      <c r="GT21" s="71">
        <f>SUM(GT8,GT19)</f>
        <v>0</v>
      </c>
      <c r="GU21" s="148" t="s">
        <v>248</v>
      </c>
    </row>
    <row r="22" spans="1:203" ht="15" customHeight="1" x14ac:dyDescent="0.3">
      <c r="GS22" s="8"/>
    </row>
    <row r="23" spans="1:203" ht="15" customHeight="1" x14ac:dyDescent="0.3">
      <c r="B23" s="499" t="s">
        <v>249</v>
      </c>
      <c r="C23" s="499"/>
      <c r="D23" s="499"/>
      <c r="E23" s="499"/>
      <c r="F23" s="499"/>
      <c r="G23" s="499"/>
      <c r="H23" s="499"/>
      <c r="I23" s="499"/>
      <c r="J23" s="499"/>
      <c r="K23" s="500" t="s">
        <v>250</v>
      </c>
      <c r="L23" s="500"/>
      <c r="M23" s="500"/>
      <c r="N23" s="500"/>
      <c r="O23" s="500"/>
      <c r="P23" s="500"/>
      <c r="Q23" s="500"/>
      <c r="R23" s="500"/>
      <c r="S23" s="500"/>
      <c r="T23" s="500" t="s">
        <v>251</v>
      </c>
      <c r="U23" s="500"/>
      <c r="V23" s="500"/>
      <c r="W23" s="500"/>
      <c r="X23" s="500"/>
      <c r="Y23" s="500"/>
      <c r="Z23" s="500"/>
      <c r="AA23" s="500"/>
      <c r="AB23" s="500"/>
      <c r="AC23" s="499" t="s">
        <v>252</v>
      </c>
      <c r="AD23" s="499"/>
      <c r="AE23" s="499"/>
      <c r="AF23" s="499"/>
      <c r="AG23" s="499"/>
      <c r="AH23" s="499"/>
      <c r="AI23" s="499"/>
      <c r="AJ23" s="499"/>
      <c r="AK23" s="499"/>
      <c r="AL23" s="500" t="s">
        <v>253</v>
      </c>
      <c r="AM23" s="500"/>
      <c r="AN23" s="500"/>
      <c r="AO23" s="500"/>
      <c r="AP23" s="500"/>
      <c r="AQ23" s="500"/>
      <c r="AR23" s="500"/>
      <c r="AS23" s="500"/>
      <c r="AT23" s="500"/>
      <c r="AU23" s="500" t="s">
        <v>254</v>
      </c>
      <c r="AV23" s="500"/>
      <c r="AW23" s="500"/>
      <c r="AX23" s="500"/>
      <c r="AY23" s="500"/>
      <c r="AZ23" s="500"/>
      <c r="BA23" s="500"/>
      <c r="BB23" s="500"/>
      <c r="BC23" s="500"/>
      <c r="GS23" s="8"/>
    </row>
    <row r="24" spans="1:203" ht="15.75" customHeight="1" x14ac:dyDescent="0.3">
      <c r="B24" s="499"/>
      <c r="C24" s="499"/>
      <c r="D24" s="499"/>
      <c r="E24" s="499"/>
      <c r="F24" s="499"/>
      <c r="G24" s="499"/>
      <c r="H24" s="499"/>
      <c r="I24" s="499"/>
      <c r="J24" s="499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499"/>
      <c r="AD24" s="499"/>
      <c r="AE24" s="499"/>
      <c r="AF24" s="499"/>
      <c r="AG24" s="499"/>
      <c r="AH24" s="499"/>
      <c r="AI24" s="499"/>
      <c r="AJ24" s="499"/>
      <c r="AK24" s="499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  <c r="AZ24" s="500"/>
      <c r="BA24" s="500"/>
      <c r="BB24" s="500"/>
      <c r="BC24" s="500"/>
      <c r="GS24" s="8"/>
    </row>
    <row r="25" spans="1:203" x14ac:dyDescent="0.3">
      <c r="A25" s="26"/>
      <c r="B25" s="14" t="s">
        <v>176</v>
      </c>
      <c r="C25" s="14" t="s">
        <v>178</v>
      </c>
      <c r="D25" s="14" t="s">
        <v>170</v>
      </c>
      <c r="E25" s="15" t="s">
        <v>168</v>
      </c>
      <c r="F25" s="15" t="s">
        <v>185</v>
      </c>
      <c r="G25" s="15" t="s">
        <v>186</v>
      </c>
      <c r="H25" s="12" t="s">
        <v>187</v>
      </c>
      <c r="I25" s="12" t="s">
        <v>188</v>
      </c>
      <c r="J25" s="12" t="s">
        <v>189</v>
      </c>
      <c r="K25" s="14" t="s">
        <v>176</v>
      </c>
      <c r="L25" s="14" t="s">
        <v>178</v>
      </c>
      <c r="M25" s="14" t="s">
        <v>170</v>
      </c>
      <c r="N25" s="15" t="s">
        <v>168</v>
      </c>
      <c r="O25" s="15" t="s">
        <v>185</v>
      </c>
      <c r="P25" s="15" t="s">
        <v>186</v>
      </c>
      <c r="Q25" s="12" t="s">
        <v>187</v>
      </c>
      <c r="R25" s="12" t="s">
        <v>188</v>
      </c>
      <c r="S25" s="12" t="s">
        <v>189</v>
      </c>
      <c r="T25" s="14" t="s">
        <v>176</v>
      </c>
      <c r="U25" s="14" t="s">
        <v>178</v>
      </c>
      <c r="V25" s="14" t="s">
        <v>170</v>
      </c>
      <c r="W25" s="15" t="s">
        <v>168</v>
      </c>
      <c r="X25" s="15" t="s">
        <v>185</v>
      </c>
      <c r="Y25" s="15" t="s">
        <v>186</v>
      </c>
      <c r="Z25" s="12" t="s">
        <v>187</v>
      </c>
      <c r="AA25" s="12" t="s">
        <v>188</v>
      </c>
      <c r="AB25" s="12" t="s">
        <v>189</v>
      </c>
      <c r="AC25" s="14" t="s">
        <v>176</v>
      </c>
      <c r="AD25" s="14" t="s">
        <v>178</v>
      </c>
      <c r="AE25" s="14" t="s">
        <v>170</v>
      </c>
      <c r="AF25" s="15" t="s">
        <v>168</v>
      </c>
      <c r="AG25" s="15" t="s">
        <v>185</v>
      </c>
      <c r="AH25" s="15" t="s">
        <v>186</v>
      </c>
      <c r="AI25" s="12" t="s">
        <v>187</v>
      </c>
      <c r="AJ25" s="12" t="s">
        <v>188</v>
      </c>
      <c r="AK25" s="12" t="s">
        <v>189</v>
      </c>
      <c r="AL25" s="14" t="s">
        <v>176</v>
      </c>
      <c r="AM25" s="14" t="s">
        <v>178</v>
      </c>
      <c r="AN25" s="14" t="s">
        <v>170</v>
      </c>
      <c r="AO25" s="15" t="s">
        <v>168</v>
      </c>
      <c r="AP25" s="15" t="s">
        <v>185</v>
      </c>
      <c r="AQ25" s="15" t="s">
        <v>186</v>
      </c>
      <c r="AR25" s="12" t="s">
        <v>187</v>
      </c>
      <c r="AS25" s="12" t="s">
        <v>188</v>
      </c>
      <c r="AT25" s="12" t="s">
        <v>189</v>
      </c>
      <c r="AU25" s="14" t="s">
        <v>176</v>
      </c>
      <c r="AV25" s="14" t="s">
        <v>178</v>
      </c>
      <c r="AW25" s="14" t="s">
        <v>170</v>
      </c>
      <c r="AX25" s="15" t="s">
        <v>168</v>
      </c>
      <c r="AY25" s="15" t="s">
        <v>185</v>
      </c>
      <c r="AZ25" s="15" t="s">
        <v>186</v>
      </c>
      <c r="BA25" s="12" t="s">
        <v>187</v>
      </c>
      <c r="BB25" s="12" t="s">
        <v>188</v>
      </c>
      <c r="BC25" s="12" t="s">
        <v>189</v>
      </c>
    </row>
    <row r="26" spans="1:203" x14ac:dyDescent="0.3">
      <c r="A26" s="35" t="s">
        <v>236</v>
      </c>
      <c r="B26" s="36">
        <f>'ADMIN TIEMPOS'!$B$2</f>
        <v>5</v>
      </c>
      <c r="C26" s="36">
        <f>'ADMIN TIEMPOS'!$B$3</f>
        <v>10</v>
      </c>
      <c r="D26" s="36">
        <f>'ADMIN TIEMPOS'!$B$4</f>
        <v>15</v>
      </c>
      <c r="E26" s="36">
        <f>'ADMIN TIEMPOS'!$B$5</f>
        <v>30</v>
      </c>
      <c r="F26" s="36">
        <f>'ADMIN TIEMPOS'!$B$6</f>
        <v>45</v>
      </c>
      <c r="G26" s="36">
        <f>'ADMIN TIEMPOS'!$B$7</f>
        <v>60</v>
      </c>
      <c r="H26" s="36">
        <f>'ADMIN TIEMPOS'!$B$8</f>
        <v>90</v>
      </c>
      <c r="I26" s="36">
        <f>'ADMIN TIEMPOS'!$B$9</f>
        <v>120</v>
      </c>
      <c r="J26" s="36">
        <f>'ADMIN TIEMPOS'!$B$10</f>
        <v>180</v>
      </c>
      <c r="K26" s="36">
        <f>'ADMIN TIEMPOS'!$B$2</f>
        <v>5</v>
      </c>
      <c r="L26" s="36">
        <f>'ADMIN TIEMPOS'!$B$3</f>
        <v>10</v>
      </c>
      <c r="M26" s="36">
        <f>'ADMIN TIEMPOS'!$B$4</f>
        <v>15</v>
      </c>
      <c r="N26" s="36">
        <f>'ADMIN TIEMPOS'!$B$5</f>
        <v>30</v>
      </c>
      <c r="O26" s="36">
        <f>'ADMIN TIEMPOS'!$B$6</f>
        <v>45</v>
      </c>
      <c r="P26" s="36">
        <f>'ADMIN TIEMPOS'!$B$7</f>
        <v>60</v>
      </c>
      <c r="Q26" s="36">
        <f>'ADMIN TIEMPOS'!$B$8</f>
        <v>90</v>
      </c>
      <c r="R26" s="36">
        <f>'ADMIN TIEMPOS'!$B$9</f>
        <v>120</v>
      </c>
      <c r="S26" s="36">
        <f>'ADMIN TIEMPOS'!$B$10</f>
        <v>180</v>
      </c>
      <c r="T26" s="36">
        <f>'ADMIN TIEMPOS'!$B$2</f>
        <v>5</v>
      </c>
      <c r="U26" s="36">
        <f>'ADMIN TIEMPOS'!$B$3</f>
        <v>10</v>
      </c>
      <c r="V26" s="36">
        <f>'ADMIN TIEMPOS'!$B$4</f>
        <v>15</v>
      </c>
      <c r="W26" s="36">
        <f>'ADMIN TIEMPOS'!$B$5</f>
        <v>30</v>
      </c>
      <c r="X26" s="36">
        <f>'ADMIN TIEMPOS'!$B$6</f>
        <v>45</v>
      </c>
      <c r="Y26" s="36">
        <f>'ADMIN TIEMPOS'!$B$7</f>
        <v>60</v>
      </c>
      <c r="Z26" s="36">
        <f>'ADMIN TIEMPOS'!$B$8</f>
        <v>90</v>
      </c>
      <c r="AA26" s="36">
        <f>'ADMIN TIEMPOS'!$B$9</f>
        <v>120</v>
      </c>
      <c r="AB26" s="36">
        <f>'ADMIN TIEMPOS'!$B$10</f>
        <v>180</v>
      </c>
      <c r="AC26" s="36">
        <f>'ADMIN TIEMPOS'!$B$2</f>
        <v>5</v>
      </c>
      <c r="AD26" s="36">
        <f>'ADMIN TIEMPOS'!$B$3</f>
        <v>10</v>
      </c>
      <c r="AE26" s="36">
        <f>'ADMIN TIEMPOS'!$B$4</f>
        <v>15</v>
      </c>
      <c r="AF26" s="36">
        <f>'ADMIN TIEMPOS'!$B$5</f>
        <v>30</v>
      </c>
      <c r="AG26" s="36">
        <f>'ADMIN TIEMPOS'!$B$6</f>
        <v>45</v>
      </c>
      <c r="AH26" s="36">
        <f>'ADMIN TIEMPOS'!$B$7</f>
        <v>60</v>
      </c>
      <c r="AI26" s="36">
        <f>'ADMIN TIEMPOS'!$B$8</f>
        <v>90</v>
      </c>
      <c r="AJ26" s="36">
        <f>'ADMIN TIEMPOS'!$B$9</f>
        <v>120</v>
      </c>
      <c r="AK26" s="36">
        <f>'ADMIN TIEMPOS'!$B$10</f>
        <v>180</v>
      </c>
      <c r="AL26" s="36">
        <f>'ADMIN TIEMPOS'!$B$2</f>
        <v>5</v>
      </c>
      <c r="AM26" s="36">
        <f>'ADMIN TIEMPOS'!$B$3</f>
        <v>10</v>
      </c>
      <c r="AN26" s="36">
        <f>'ADMIN TIEMPOS'!$B$4</f>
        <v>15</v>
      </c>
      <c r="AO26" s="36">
        <f>'ADMIN TIEMPOS'!$B$5</f>
        <v>30</v>
      </c>
      <c r="AP26" s="36">
        <f>'ADMIN TIEMPOS'!$B$6</f>
        <v>45</v>
      </c>
      <c r="AQ26" s="36">
        <f>'ADMIN TIEMPOS'!$B$7</f>
        <v>60</v>
      </c>
      <c r="AR26" s="36">
        <f>'ADMIN TIEMPOS'!$B$8</f>
        <v>90</v>
      </c>
      <c r="AS26" s="36">
        <f>'ADMIN TIEMPOS'!$B$9</f>
        <v>120</v>
      </c>
      <c r="AT26" s="36">
        <f>'ADMIN TIEMPOS'!$B$10</f>
        <v>180</v>
      </c>
      <c r="AU26" s="36">
        <f>'ADMIN TIEMPOS'!$B$2</f>
        <v>5</v>
      </c>
      <c r="AV26" s="36">
        <f>'ADMIN TIEMPOS'!$B$3</f>
        <v>10</v>
      </c>
      <c r="AW26" s="36">
        <f>'ADMIN TIEMPOS'!$B$4</f>
        <v>15</v>
      </c>
      <c r="AX26" s="36">
        <f>'ADMIN TIEMPOS'!$B$5</f>
        <v>30</v>
      </c>
      <c r="AY26" s="36">
        <f>'ADMIN TIEMPOS'!$B$6</f>
        <v>45</v>
      </c>
      <c r="AZ26" s="36">
        <f>'ADMIN TIEMPOS'!$B$7</f>
        <v>60</v>
      </c>
      <c r="BA26" s="36">
        <f>'ADMIN TIEMPOS'!$B$8</f>
        <v>90</v>
      </c>
      <c r="BB26" s="36">
        <f>'ADMIN TIEMPOS'!$B$9</f>
        <v>120</v>
      </c>
      <c r="BC26" s="36">
        <f>'ADMIN TIEMPOS'!$B$10</f>
        <v>180</v>
      </c>
      <c r="GS26" s="8"/>
    </row>
    <row r="27" spans="1:203" ht="21.6" x14ac:dyDescent="0.3">
      <c r="A27" s="37" t="s">
        <v>255</v>
      </c>
      <c r="B27" s="38">
        <f>COUNTIFS('MATRIZ TRAZA'!D6:D1048576,'ESTANDAR HORAS'!A9,'MATRIZ TRAZA'!E6:E1048576,'ESTANDAR HORAS'!B29,'MATRIZ TRAZA'!G6:G1048576,'ESTANDAR HORAS'!C3,'MATRIZ TRAZA'!H6:H1048576,"NO")</f>
        <v>0</v>
      </c>
      <c r="C27" s="38">
        <f>COUNTIFS('MATRIZ TRAZA'!D6:D1048576,'ESTANDAR HORAS'!A9,'MATRIZ TRAZA'!E6:E1048576,'ESTANDAR HORAS'!B29,'MATRIZ TRAZA'!G6:G1048576,'ESTANDAR HORAS'!D3,'MATRIZ TRAZA'!H6:H1048576,"NO")</f>
        <v>0</v>
      </c>
      <c r="D27" s="38">
        <f>COUNTIFS('MATRIZ TRAZA'!D6:D1048576,'ESTANDAR HORAS'!A9,'MATRIZ TRAZA'!E6:E1048576,'ESTANDAR HORAS'!B29,'MATRIZ TRAZA'!G6:G1048576,'ESTANDAR HORAS'!E3,'MATRIZ TRAZA'!H6:H1048576,"NO")</f>
        <v>0</v>
      </c>
      <c r="E27" s="38">
        <f>COUNTIFS('MATRIZ TRAZA'!D6:D1048576,'ESTANDAR HORAS'!A9,'MATRIZ TRAZA'!E6:E1048576,'ESTANDAR HORAS'!B29,'MATRIZ TRAZA'!G6:G1048576,'ESTANDAR HORAS'!F3,'MATRIZ TRAZA'!H6:H1048576,"NO")</f>
        <v>0</v>
      </c>
      <c r="F27" s="38">
        <f>COUNTIFS('MATRIZ TRAZA'!D6:D1048576,'ESTANDAR HORAS'!A9,'MATRIZ TRAZA'!E6:E1048576,'ESTANDAR HORAS'!B29,'MATRIZ TRAZA'!G6:G1048576,'ESTANDAR HORAS'!G3,'MATRIZ TRAZA'!H6:H1048576,"NO")</f>
        <v>0</v>
      </c>
      <c r="G27" s="38">
        <f>COUNTIFS('MATRIZ TRAZA'!D6:D1048576,'ESTANDAR HORAS'!A9,'MATRIZ TRAZA'!E6:E1048576,'ESTANDAR HORAS'!B29,'MATRIZ TRAZA'!G6:G1048576,'ESTANDAR HORAS'!H3,'MATRIZ TRAZA'!H6:H1048576,"NO")</f>
        <v>0</v>
      </c>
      <c r="H27" s="38">
        <f>COUNTIFS('MATRIZ TRAZA'!D6:D1048576,'ESTANDAR HORAS'!A9,'MATRIZ TRAZA'!E6:E1048576,'ESTANDAR HORAS'!B29,'MATRIZ TRAZA'!G6:G1048576,'ESTANDAR HORAS'!I3,'MATRIZ TRAZA'!H6:H1048576,"NO")</f>
        <v>0</v>
      </c>
      <c r="I27" s="38">
        <f>COUNTIFS('MATRIZ TRAZA'!D6:D1048576,'ESTANDAR HORAS'!A9,'MATRIZ TRAZA'!E6:E1048576,'ESTANDAR HORAS'!B29,'MATRIZ TRAZA'!G6:G1048576,'ESTANDAR HORAS'!J3,'MATRIZ TRAZA'!H6:H1048576,"NO")</f>
        <v>0</v>
      </c>
      <c r="J27" s="38">
        <f>COUNTIFS('MATRIZ TRAZA'!D6:D1048576,'ESTANDAR HORAS'!A9,'MATRIZ TRAZA'!E6:E1048576,'ESTANDAR HORAS'!B29,'MATRIZ TRAZA'!G6:G1048576,'ESTANDAR HORAS'!K3,'MATRIZ TRAZA'!H6:H1048576,"NO")</f>
        <v>0</v>
      </c>
      <c r="K27" s="38">
        <f>COUNTIFS('MATRIZ TRAZA'!D6:D1048576,'ESTANDAR HORAS'!A9,'MATRIZ TRAZA'!E6:E1048576,'ESTANDAR HORAS'!B30,'MATRIZ TRAZA'!G6:G1048576,'ESTANDAR HORAS'!C3,'MATRIZ TRAZA'!H6:H1048576,"NO")</f>
        <v>0</v>
      </c>
      <c r="L27" s="38">
        <f>COUNTIFS('MATRIZ TRAZA'!D6:D1048576,'ESTANDAR HORAS'!A9,'MATRIZ TRAZA'!E6:E1048576,'ESTANDAR HORAS'!B30,'MATRIZ TRAZA'!G6:G1048576,'ESTANDAR HORAS'!D3,'MATRIZ TRAZA'!H6:H1048576,"NO")</f>
        <v>0</v>
      </c>
      <c r="M27" s="38">
        <f>COUNTIFS('MATRIZ TRAZA'!D6:D1048576,'ESTANDAR HORAS'!A9,'MATRIZ TRAZA'!E6:E1048576,'ESTANDAR HORAS'!B31,'MATRIZ TRAZA'!G6:G1048576,'ESTANDAR HORAS'!E3,'MATRIZ TRAZA'!H6:H1048576,"NO")</f>
        <v>0</v>
      </c>
      <c r="N27" s="38">
        <f>COUNTIFS('MATRIZ TRAZA'!D6:D1048576,'ESTANDAR HORAS'!A9,'MATRIZ TRAZA'!E6:E1048576,'ESTANDAR HORAS'!B30,'MATRIZ TRAZA'!G6:G1048576,'ESTANDAR HORAS'!F3,'MATRIZ TRAZA'!H6:H1048576,"NO")</f>
        <v>0</v>
      </c>
      <c r="O27" s="38">
        <f>COUNTIFS('MATRIZ TRAZA'!D6:D1048576,'ESTANDAR HORAS'!A9,'MATRIZ TRAZA'!E6:E1048576,'ESTANDAR HORAS'!B30,'MATRIZ TRAZA'!G6:G1048576,'ESTANDAR HORAS'!G3,'MATRIZ TRAZA'!H6:H1048576,"NO")</f>
        <v>0</v>
      </c>
      <c r="P27" s="38">
        <f>COUNTIFS('MATRIZ TRAZA'!D6:D1048576,'ESTANDAR HORAS'!A9,'MATRIZ TRAZA'!E6:E1048576,'ESTANDAR HORAS'!B30,'MATRIZ TRAZA'!G6:G1048576,'ESTANDAR HORAS'!H3,'MATRIZ TRAZA'!H6:H1048576,"NO")</f>
        <v>0</v>
      </c>
      <c r="Q27" s="38">
        <f>COUNTIFS('MATRIZ TRAZA'!D6:D1048576,'ESTANDAR HORAS'!A9,'MATRIZ TRAZA'!E6:E1048576,'ESTANDAR HORAS'!B30,'MATRIZ TRAZA'!G6:G1048576,'ESTANDAR HORAS'!I3,'MATRIZ TRAZA'!H6:H1048576,"NO")</f>
        <v>0</v>
      </c>
      <c r="R27" s="38">
        <f>COUNTIFS('MATRIZ TRAZA'!D6:D1048576,'ESTANDAR HORAS'!A9,'MATRIZ TRAZA'!E6:E1048576,'ESTANDAR HORAS'!B30,'MATRIZ TRAZA'!G6:G1048576,'ESTANDAR HORAS'!J3,'MATRIZ TRAZA'!H6:H1048576,"NO")</f>
        <v>0</v>
      </c>
      <c r="S27" s="38">
        <f>COUNTIFS('MATRIZ TRAZA'!D6:D1048576,'ESTANDAR HORAS'!A9,'MATRIZ TRAZA'!E6:E1048576,'ESTANDAR HORAS'!B30,'MATRIZ TRAZA'!G6:G1048576,'ESTANDAR HORAS'!K3,'MATRIZ TRAZA'!H6:H1048576,"NO")</f>
        <v>0</v>
      </c>
      <c r="T27" s="38">
        <f>COUNTIFS('MATRIZ TRAZA'!D6:D1048576,'ESTANDAR HORAS'!A9,'MATRIZ TRAZA'!E6:E1048576,'ESTANDAR HORAS'!B31,'MATRIZ TRAZA'!G6:G1048576,'ESTANDAR HORAS'!C3,'MATRIZ TRAZA'!H6:H1048576,"NO")</f>
        <v>0</v>
      </c>
      <c r="U27" s="38">
        <f>COUNTIFS('MATRIZ TRAZA'!D6:D1048576,'ESTANDAR HORAS'!A9,'MATRIZ TRAZA'!E6:E1048576,'ESTANDAR HORAS'!B31,'MATRIZ TRAZA'!G6:G1048576,'ESTANDAR HORAS'!D3,'MATRIZ TRAZA'!H6:H1048576,"NO")</f>
        <v>0</v>
      </c>
      <c r="V27" s="38">
        <f>COUNTIFS('MATRIZ TRAZA'!D6:D1048576,'ESTANDAR HORAS'!A9,'MATRIZ TRAZA'!E6:E1048576,'ESTANDAR HORAS'!B31,'MATRIZ TRAZA'!G6:G1048576,'ESTANDAR HORAS'!E3,'MATRIZ TRAZA'!H6:H1048576,"NO")</f>
        <v>0</v>
      </c>
      <c r="W27" s="38">
        <f>COUNTIFS('MATRIZ TRAZA'!D6:D1048576,'ESTANDAR HORAS'!A9,'MATRIZ TRAZA'!E6:E1048576,'ESTANDAR HORAS'!B31,'MATRIZ TRAZA'!G6:G1048576,'ESTANDAR HORAS'!F3,'MATRIZ TRAZA'!H6:H1048576,"NO")</f>
        <v>0</v>
      </c>
      <c r="X27" s="38">
        <f>COUNTIFS('MATRIZ TRAZA'!D6:D1048576,'ESTANDAR HORAS'!A9,'MATRIZ TRAZA'!E6:E1048576,'ESTANDAR HORAS'!B31,'MATRIZ TRAZA'!G6:G1048576,'ESTANDAR HORAS'!G3,'MATRIZ TRAZA'!H6:H1048576,"NO")</f>
        <v>0</v>
      </c>
      <c r="Y27" s="38">
        <f>COUNTIFS('MATRIZ TRAZA'!D6:D1048576,'ESTANDAR HORAS'!A9,'MATRIZ TRAZA'!E6:E1048576,'ESTANDAR HORAS'!B31,'MATRIZ TRAZA'!G6:G1048576,'ESTANDAR HORAS'!H3,'MATRIZ TRAZA'!H6:H1048576,"NO")</f>
        <v>0</v>
      </c>
      <c r="Z27" s="38">
        <f>COUNTIFS('MATRIZ TRAZA'!D6:D1048576,'ESTANDAR HORAS'!A9,'MATRIZ TRAZA'!E6:E1048576,'ESTANDAR HORAS'!B31,'MATRIZ TRAZA'!G6:G1048576,'ESTANDAR HORAS'!I3,'MATRIZ TRAZA'!H6:H1048576,"NO")</f>
        <v>0</v>
      </c>
      <c r="AA27" s="38">
        <f>COUNTIFS('MATRIZ TRAZA'!D6:D1048576,'ESTANDAR HORAS'!A9,'MATRIZ TRAZA'!E6:E1048576,'ESTANDAR HORAS'!B31,'MATRIZ TRAZA'!G6:G1048576,'ESTANDAR HORAS'!J3,'MATRIZ TRAZA'!H6:H1048576,"NO")</f>
        <v>0</v>
      </c>
      <c r="AB27" s="38">
        <f>COUNTIFS('MATRIZ TRAZA'!D6:D1048576,'ESTANDAR HORAS'!A9,'MATRIZ TRAZA'!E6:E1048576,'ESTANDAR HORAS'!B31,'MATRIZ TRAZA'!G6:G1048576,'ESTANDAR HORAS'!K3,'MATRIZ TRAZA'!H6:H1048576,"NO")</f>
        <v>0</v>
      </c>
      <c r="AC27" s="38">
        <f>COUNTIFS('MATRIZ TRAZA'!D6:D1048576,'ESTANDAR HORAS'!A9,'MATRIZ TRAZA'!E6:E1048576,'ESTANDAR HORAS'!B32,'MATRIZ TRAZA'!G6:G1048576,'ESTANDAR HORAS'!C3,'MATRIZ TRAZA'!H6:H1048576,"NO")</f>
        <v>0</v>
      </c>
      <c r="AD27" s="38">
        <f>COUNTIFS('MATRIZ TRAZA'!D6:D1048576,'ESTANDAR HORAS'!A9,'MATRIZ TRAZA'!E6:E1048576,'ESTANDAR HORAS'!B32,'MATRIZ TRAZA'!G6:G1048576,'ESTANDAR HORAS'!D3,'MATRIZ TRAZA'!H6:H1048576,"NO")</f>
        <v>0</v>
      </c>
      <c r="AE27" s="38">
        <f>COUNTIFS('MATRIZ TRAZA'!D6:D1048576,'ESTANDAR HORAS'!A9,'MATRIZ TRAZA'!E6:E1048576,'ESTANDAR HORAS'!B32,'MATRIZ TRAZA'!G6:G1048576,'ESTANDAR HORAS'!E3,'MATRIZ TRAZA'!H6:H1048576,"NO")</f>
        <v>0</v>
      </c>
      <c r="AF27" s="38">
        <f>COUNTIFS('MATRIZ TRAZA'!D6:D1048576,'ESTANDAR HORAS'!A9,'MATRIZ TRAZA'!E6:E1048576,'ESTANDAR HORAS'!B32,'MATRIZ TRAZA'!G6:G1048576,'ESTANDAR HORAS'!F3,'MATRIZ TRAZA'!H6:H1048576,"NO")</f>
        <v>0</v>
      </c>
      <c r="AG27" s="38">
        <f>COUNTIFS('MATRIZ TRAZA'!D6:D1048576,'ESTANDAR HORAS'!A9,'MATRIZ TRAZA'!E6:E1048576,'ESTANDAR HORAS'!B32,'MATRIZ TRAZA'!G6:G1048576,'ESTANDAR HORAS'!G3,'MATRIZ TRAZA'!H6:H1048576,"NO")</f>
        <v>0</v>
      </c>
      <c r="AH27" s="38">
        <f>COUNTIFS('MATRIZ TRAZA'!D6:D1048576,'ESTANDAR HORAS'!A9,'MATRIZ TRAZA'!E6:E1048576,'ESTANDAR HORAS'!B32,'MATRIZ TRAZA'!G6:G1048576,'ESTANDAR HORAS'!H3,'MATRIZ TRAZA'!H6:H1048576,"NO")</f>
        <v>0</v>
      </c>
      <c r="AI27" s="38">
        <f>COUNTIFS('MATRIZ TRAZA'!D6:D1048576,'ESTANDAR HORAS'!A9,'MATRIZ TRAZA'!E6:E1048576,'ESTANDAR HORAS'!B32,'MATRIZ TRAZA'!G6:G1048576,'ESTANDAR HORAS'!I3,'MATRIZ TRAZA'!H6:H1048576,"NO")</f>
        <v>0</v>
      </c>
      <c r="AJ27" s="38">
        <f>COUNTIFS('MATRIZ TRAZA'!D6:D1048576,'ESTANDAR HORAS'!A9,'MATRIZ TRAZA'!E6:E1048576,'ESTANDAR HORAS'!B32,'MATRIZ TRAZA'!G6:G1048576,'ESTANDAR HORAS'!J3,'MATRIZ TRAZA'!H6:H1048576,"NO")</f>
        <v>0</v>
      </c>
      <c r="AK27" s="38">
        <f>COUNTIFS('MATRIZ TRAZA'!D6:D1048576,'ESTANDAR HORAS'!A9,'MATRIZ TRAZA'!E6:E1048576,'ESTANDAR HORAS'!B32,'MATRIZ TRAZA'!G6:G1048576,'ESTANDAR HORAS'!K3,'MATRIZ TRAZA'!H6:H1048576,"NO")</f>
        <v>0</v>
      </c>
      <c r="AL27" s="38">
        <f>COUNTIFS('MATRIZ TRAZA'!D6:D1048576,'ESTANDAR HORAS'!A9,'MATRIZ TRAZA'!E6:E1048576,'ESTANDAR HORAS'!B33,'MATRIZ TRAZA'!G6:G1048576,'ESTANDAR HORAS'!C3,'MATRIZ TRAZA'!H6:H1048576,"NO")</f>
        <v>0</v>
      </c>
      <c r="AM27" s="38">
        <f>COUNTIFS('MATRIZ TRAZA'!D6:D1048576,'ESTANDAR HORAS'!A9,'MATRIZ TRAZA'!E6:E1048576,'ESTANDAR HORAS'!B33,'MATRIZ TRAZA'!G6:G1048576,'ESTANDAR HORAS'!D3,'MATRIZ TRAZA'!H6:H1048576,"NO")</f>
        <v>0</v>
      </c>
      <c r="AN27" s="38">
        <f>COUNTIFS('MATRIZ TRAZA'!D6:D1048576,'ESTANDAR HORAS'!A9,'MATRIZ TRAZA'!E6:E1048576,'ESTANDAR HORAS'!B33,'MATRIZ TRAZA'!G6:G1048576,'ESTANDAR HORAS'!E3,'MATRIZ TRAZA'!H6:H1048576,"NO")</f>
        <v>0</v>
      </c>
      <c r="AO27" s="38">
        <f>COUNTIFS('MATRIZ TRAZA'!D6:D1048576,'ESTANDAR HORAS'!A9,'MATRIZ TRAZA'!E6:E1048576,'ESTANDAR HORAS'!B33,'MATRIZ TRAZA'!G6:G1048576,'ESTANDAR HORAS'!F3,'MATRIZ TRAZA'!H6:H1048576,"NO")</f>
        <v>0</v>
      </c>
      <c r="AP27" s="38">
        <f>COUNTIFS('MATRIZ TRAZA'!D6:D1048576,'ESTANDAR HORAS'!A9,'MATRIZ TRAZA'!E6:E1048576,'ESTANDAR HORAS'!B33,'MATRIZ TRAZA'!G6:G1048576,'ESTANDAR HORAS'!G3,'MATRIZ TRAZA'!H6:H1048576,"NO")</f>
        <v>0</v>
      </c>
      <c r="AQ27" s="38">
        <f>COUNTIFS('MATRIZ TRAZA'!D6:D1048576,'ESTANDAR HORAS'!A9,'MATRIZ TRAZA'!E6:E1048576,'ESTANDAR HORAS'!B33,'MATRIZ TRAZA'!G6:G1048576,'ESTANDAR HORAS'!H3,'MATRIZ TRAZA'!H6:H1048576,"NO")</f>
        <v>0</v>
      </c>
      <c r="AR27" s="38">
        <f>COUNTIFS('MATRIZ TRAZA'!D6:D1048576,'ESTANDAR HORAS'!A9,'MATRIZ TRAZA'!E6:E1048576,'ESTANDAR HORAS'!B33,'MATRIZ TRAZA'!G6:G1048576,'ESTANDAR HORAS'!I3,'MATRIZ TRAZA'!H6:H1048576,"NO")</f>
        <v>0</v>
      </c>
      <c r="AS27" s="38">
        <f>COUNTIFS('MATRIZ TRAZA'!D6:D1048576,'ESTANDAR HORAS'!A9,'MATRIZ TRAZA'!E6:E1048576,'ESTANDAR HORAS'!B33,'MATRIZ TRAZA'!G6:G1048576,'ESTANDAR HORAS'!J3,'MATRIZ TRAZA'!H6:H1048576,"NO")</f>
        <v>0</v>
      </c>
      <c r="AT27" s="38">
        <f>COUNTIFS('MATRIZ TRAZA'!D6:D1048576,'ESTANDAR HORAS'!A9,'MATRIZ TRAZA'!E6:E1048576,'ESTANDAR HORAS'!B33,'MATRIZ TRAZA'!G6:G1048576,'ESTANDAR HORAS'!K3,'MATRIZ TRAZA'!H6:H1048576,"NO")</f>
        <v>0</v>
      </c>
      <c r="AU27" s="38">
        <f>COUNTIFS('MATRIZ TRAZA'!D6:D1048576,'ESTANDAR HORAS'!A9,'MATRIZ TRAZA'!E6:E1048576,'ESTANDAR HORAS'!B34,'MATRIZ TRAZA'!G6:G1048576,'ESTANDAR HORAS'!C3,'MATRIZ TRAZA'!H6:H1048576,"NO")</f>
        <v>0</v>
      </c>
      <c r="AV27" s="38">
        <f>COUNTIFS('MATRIZ TRAZA'!D6:D1048576,'ESTANDAR HORAS'!A9,'MATRIZ TRAZA'!E6:E1048576,'ESTANDAR HORAS'!B34,'MATRIZ TRAZA'!G6:G1048576,'ESTANDAR HORAS'!D3,'MATRIZ TRAZA'!H6:H1048576,"NO")</f>
        <v>0</v>
      </c>
      <c r="AW27" s="38">
        <f>COUNTIFS('MATRIZ TRAZA'!D6:D1048576,'ESTANDAR HORAS'!A9,'MATRIZ TRAZA'!E6:E1048576,'ESTANDAR HORAS'!B34,'MATRIZ TRAZA'!G6:G1048576,'ESTANDAR HORAS'!E3,'MATRIZ TRAZA'!H6:H1048576,"NO")</f>
        <v>0</v>
      </c>
      <c r="AX27" s="38">
        <f>COUNTIFS('MATRIZ TRAZA'!D6:D1048576,'ESTANDAR HORAS'!A9,'MATRIZ TRAZA'!E6:E1048576,'ESTANDAR HORAS'!B34,'MATRIZ TRAZA'!G6:G1048576,'ESTANDAR HORAS'!F3,'MATRIZ TRAZA'!H6:H1048576,"NO")</f>
        <v>0</v>
      </c>
      <c r="AY27" s="38">
        <f>COUNTIFS('MATRIZ TRAZA'!D6:D1048576,'ESTANDAR HORAS'!A9,'MATRIZ TRAZA'!E6:E1048576,'ESTANDAR HORAS'!B34,'MATRIZ TRAZA'!G6:G1048576,'ESTANDAR HORAS'!G3,'MATRIZ TRAZA'!H6:H1048576,"NO")</f>
        <v>0</v>
      </c>
      <c r="AZ27" s="38">
        <f>COUNTIFS('MATRIZ TRAZA'!D6:D1048576,'ESTANDAR HORAS'!A9,'MATRIZ TRAZA'!E6:E1048576,'ESTANDAR HORAS'!B34,'MATRIZ TRAZA'!G6:G1048576,'ESTANDAR HORAS'!H3,'MATRIZ TRAZA'!H6:H1048576,"NO")</f>
        <v>0</v>
      </c>
      <c r="BA27" s="38">
        <f>COUNTIFS('MATRIZ TRAZA'!D6:D1048576,'ESTANDAR HORAS'!A9,'MATRIZ TRAZA'!E6:E1048576,'ESTANDAR HORAS'!B34,'MATRIZ TRAZA'!G6:G1048576,'ESTANDAR HORAS'!I3,'MATRIZ TRAZA'!H6:H1048576,"NO")</f>
        <v>0</v>
      </c>
      <c r="BB27" s="38">
        <f>COUNTIFS('MATRIZ TRAZA'!D6:D1048576,'ESTANDAR HORAS'!A9,'MATRIZ TRAZA'!E6:E1048576,'ESTANDAR HORAS'!B34,'MATRIZ TRAZA'!G6:G1048576,'ESTANDAR HORAS'!J3,'MATRIZ TRAZA'!H6:H1048576,"NO")</f>
        <v>0</v>
      </c>
      <c r="BC27" s="38">
        <f>COUNTIFS('MATRIZ TRAZA'!D6:D1048576,'ESTANDAR HORAS'!A9,'MATRIZ TRAZA'!E6:E1048576,'ESTANDAR HORAS'!B34,'MATRIZ TRAZA'!G6:G1048576,'ESTANDAR HORAS'!K3,'MATRIZ TRAZA'!H6:H1048576,"NO")</f>
        <v>0</v>
      </c>
      <c r="GL27" s="40">
        <f>SUM(B27:BC27)</f>
        <v>0</v>
      </c>
      <c r="GO27" s="7"/>
    </row>
    <row r="28" spans="1:203" x14ac:dyDescent="0.3">
      <c r="A28" s="41" t="s">
        <v>240</v>
      </c>
      <c r="B28" s="42" cm="1">
        <f t="array" ref="B28">SUM(B27:B27*B26)</f>
        <v>0</v>
      </c>
      <c r="C28" s="42" cm="1">
        <f t="array" ref="C28">SUM(C27:C27*C26)</f>
        <v>0</v>
      </c>
      <c r="D28" s="42" cm="1">
        <f t="array" ref="D28">SUM(D27:D27*D26)</f>
        <v>0</v>
      </c>
      <c r="E28" s="42" cm="1">
        <f t="array" ref="E28">SUM(E27:E27*E26)</f>
        <v>0</v>
      </c>
      <c r="F28" s="42" cm="1">
        <f t="array" ref="F28">SUM(F27:F27*F26)</f>
        <v>0</v>
      </c>
      <c r="G28" s="42" cm="1">
        <f t="array" ref="G28">SUM(G27:G27*G26)</f>
        <v>0</v>
      </c>
      <c r="H28" s="42" cm="1">
        <f t="array" ref="H28">SUM(H27:H27*H26)</f>
        <v>0</v>
      </c>
      <c r="I28" s="42" cm="1">
        <f t="array" ref="I28">SUM(I27:I27*I26)</f>
        <v>0</v>
      </c>
      <c r="J28" s="42" cm="1">
        <f t="array" ref="J28">SUM(J27:J27*J26)</f>
        <v>0</v>
      </c>
      <c r="K28" s="42" cm="1">
        <f t="array" ref="K28">SUM(K27:K27*K26)</f>
        <v>0</v>
      </c>
      <c r="L28" s="42" cm="1">
        <f t="array" ref="L28">SUM(L27:L27*L26)</f>
        <v>0</v>
      </c>
      <c r="M28" s="42" cm="1">
        <f t="array" ref="M28">SUM(M27:M27*M26)</f>
        <v>0</v>
      </c>
      <c r="N28" s="42" cm="1">
        <f t="array" ref="N28">SUM(N27:N27*N26)</f>
        <v>0</v>
      </c>
      <c r="O28" s="42" cm="1">
        <f t="array" ref="O28">SUM(O27:O27*O26)</f>
        <v>0</v>
      </c>
      <c r="P28" s="42" cm="1">
        <f t="array" ref="P28">SUM(P27:P27*P26)</f>
        <v>0</v>
      </c>
      <c r="Q28" s="42" cm="1">
        <f t="array" ref="Q28">SUM(Q27:Q27*Q26)</f>
        <v>0</v>
      </c>
      <c r="R28" s="42" cm="1">
        <f t="array" ref="R28">SUM(R27:R27*R26)</f>
        <v>0</v>
      </c>
      <c r="S28" s="42" cm="1">
        <f t="array" ref="S28">SUM(S27:S27*S26)</f>
        <v>0</v>
      </c>
      <c r="T28" s="42" cm="1">
        <f t="array" ref="T28">SUM(T27:T27*T26)</f>
        <v>0</v>
      </c>
      <c r="U28" s="42" cm="1">
        <f t="array" ref="U28">SUM(U27:U27*U26)</f>
        <v>0</v>
      </c>
      <c r="V28" s="42" cm="1">
        <f t="array" ref="V28">SUM(V27:V27*V26)</f>
        <v>0</v>
      </c>
      <c r="W28" s="42" cm="1">
        <f t="array" ref="W28">SUM(W27:W27*W26)</f>
        <v>0</v>
      </c>
      <c r="X28" s="42" cm="1">
        <f t="array" ref="X28">SUM(X27:X27*X26)</f>
        <v>0</v>
      </c>
      <c r="Y28" s="42" cm="1">
        <f t="array" ref="Y28">SUM(Y27:Y27*Y26)</f>
        <v>0</v>
      </c>
      <c r="Z28" s="42" cm="1">
        <f t="array" ref="Z28">SUM(Z27:Z27*Z26)</f>
        <v>0</v>
      </c>
      <c r="AA28" s="42" cm="1">
        <f t="array" ref="AA28">SUM(AA27:AA27*AA26)</f>
        <v>0</v>
      </c>
      <c r="AB28" s="42" cm="1">
        <f t="array" ref="AB28">SUM(AB27:AB27*AB26)</f>
        <v>0</v>
      </c>
      <c r="AC28" s="42" cm="1">
        <f t="array" ref="AC28">SUM(AC27:AC27*AC26)</f>
        <v>0</v>
      </c>
      <c r="AD28" s="42" cm="1">
        <f t="array" ref="AD28">SUM(AD27:AD27*AD26)</f>
        <v>0</v>
      </c>
      <c r="AE28" s="42" cm="1">
        <f t="array" ref="AE28">SUM(AE27:AE27*AE26)</f>
        <v>0</v>
      </c>
      <c r="AF28" s="42" cm="1">
        <f t="array" ref="AF28">SUM(AF27:AF27*AF26)</f>
        <v>0</v>
      </c>
      <c r="AG28" s="42" cm="1">
        <f t="array" ref="AG28">SUM(AG27:AG27*AG26)</f>
        <v>0</v>
      </c>
      <c r="AH28" s="42" cm="1">
        <f t="array" ref="AH28">SUM(AH27:AH27*AH26)</f>
        <v>0</v>
      </c>
      <c r="AI28" s="42" cm="1">
        <f t="array" ref="AI28">SUM(AI27:AI27*AI26)</f>
        <v>0</v>
      </c>
      <c r="AJ28" s="42" cm="1">
        <f t="array" ref="AJ28">SUM(AJ27:AJ27*AJ26)</f>
        <v>0</v>
      </c>
      <c r="AK28" s="42" cm="1">
        <f t="array" ref="AK28">SUM(AK27:AK27*AK26)</f>
        <v>0</v>
      </c>
      <c r="AL28" s="42" cm="1">
        <f t="array" ref="AL28">SUM(AL27:AL27*AL26)</f>
        <v>0</v>
      </c>
      <c r="AM28" s="42" cm="1">
        <f t="array" ref="AM28">SUM(AM27:AM27*AM26)</f>
        <v>0</v>
      </c>
      <c r="AN28" s="42" cm="1">
        <f t="array" ref="AN28">SUM(AN27:AN27*AN26)</f>
        <v>0</v>
      </c>
      <c r="AO28" s="42" cm="1">
        <f t="array" ref="AO28">SUM(AO27:AO27*AO26)</f>
        <v>0</v>
      </c>
      <c r="AP28" s="42" cm="1">
        <f t="array" ref="AP28">SUM(AP27:AP27*AP26)</f>
        <v>0</v>
      </c>
      <c r="AQ28" s="42" cm="1">
        <f t="array" ref="AQ28">SUM(AQ27:AQ27*AQ26)</f>
        <v>0</v>
      </c>
      <c r="AR28" s="42" cm="1">
        <f t="array" ref="AR28">SUM(AR27:AR27*AR26)</f>
        <v>0</v>
      </c>
      <c r="AS28" s="42" cm="1">
        <f t="array" ref="AS28">SUM(AS27:AS27*AS26)</f>
        <v>0</v>
      </c>
      <c r="AT28" s="42" cm="1">
        <f t="array" ref="AT28">SUM(AT27:AT27*AT26)</f>
        <v>0</v>
      </c>
      <c r="AU28" s="42" cm="1">
        <f t="array" ref="AU28">SUM(AU27:AU27*AU26)</f>
        <v>0</v>
      </c>
      <c r="AV28" s="42" cm="1">
        <f t="array" ref="AV28">SUM(AV27:AV27*AV26)</f>
        <v>0</v>
      </c>
      <c r="AW28" s="42" cm="1">
        <f t="array" ref="AW28">SUM(AW27:AW27*AW26)</f>
        <v>0</v>
      </c>
      <c r="AX28" s="42" cm="1">
        <f t="array" ref="AX28">SUM(AX27:AX27*AX26)</f>
        <v>0</v>
      </c>
      <c r="AY28" s="42" cm="1">
        <f t="array" ref="AY28">SUM(AY27:AY27*AY26)</f>
        <v>0</v>
      </c>
      <c r="AZ28" s="42" cm="1">
        <f t="array" ref="AZ28">SUM(AZ27:AZ27*AZ26)</f>
        <v>0</v>
      </c>
      <c r="BA28" s="42" cm="1">
        <f t="array" ref="BA28">SUM(BA27:BA27*BA26)</f>
        <v>0</v>
      </c>
      <c r="BB28" s="42" cm="1">
        <f t="array" ref="BB28">SUM(BB27:BB27*BB26)</f>
        <v>0</v>
      </c>
      <c r="BC28" s="42" cm="1">
        <f t="array" ref="BC28">SUM(BC27:BC27*BC26)</f>
        <v>0</v>
      </c>
      <c r="GL28" s="161">
        <f>SUM(B28:BC28)/60</f>
        <v>0</v>
      </c>
    </row>
  </sheetData>
  <mergeCells count="70">
    <mergeCell ref="AC23:AK24"/>
    <mergeCell ref="AL23:AT24"/>
    <mergeCell ref="AU23:BC24"/>
    <mergeCell ref="B23:J24"/>
    <mergeCell ref="K23:S24"/>
    <mergeCell ref="T23:AB24"/>
    <mergeCell ref="CN21:DE21"/>
    <mergeCell ref="B14:AB14"/>
    <mergeCell ref="B16:AB16"/>
    <mergeCell ref="GI7:GK7"/>
    <mergeCell ref="GI8:GK8"/>
    <mergeCell ref="CN8:DE8"/>
    <mergeCell ref="CN9:DE9"/>
    <mergeCell ref="BD9:BL9"/>
    <mergeCell ref="CE9:CM9"/>
    <mergeCell ref="B18:J20"/>
    <mergeCell ref="T18:AB20"/>
    <mergeCell ref="AC8:AK11"/>
    <mergeCell ref="AL8:AT11"/>
    <mergeCell ref="AU8:BC11"/>
    <mergeCell ref="DX16:GH16"/>
    <mergeCell ref="AU18:BC20"/>
    <mergeCell ref="K18:S20"/>
    <mergeCell ref="B15:AT15"/>
    <mergeCell ref="BD15:BL15"/>
    <mergeCell ref="CE15:DW15"/>
    <mergeCell ref="FH18:FP20"/>
    <mergeCell ref="EY18:FG20"/>
    <mergeCell ref="DF18:DN20"/>
    <mergeCell ref="BD18:BL20"/>
    <mergeCell ref="BV18:CD20"/>
    <mergeCell ref="BV13:CD16"/>
    <mergeCell ref="BM13:BU16"/>
    <mergeCell ref="BM18:BU20"/>
    <mergeCell ref="A2:GL2"/>
    <mergeCell ref="A3:GL3"/>
    <mergeCell ref="CE4:CM5"/>
    <mergeCell ref="CN4:CV5"/>
    <mergeCell ref="CW4:DE5"/>
    <mergeCell ref="DO4:DW5"/>
    <mergeCell ref="GI4:GK5"/>
    <mergeCell ref="BM4:BU5"/>
    <mergeCell ref="B4:J5"/>
    <mergeCell ref="K4:S5"/>
    <mergeCell ref="T4:AB5"/>
    <mergeCell ref="AC4:AK5"/>
    <mergeCell ref="AL4:AT5"/>
    <mergeCell ref="BD4:BL5"/>
    <mergeCell ref="BV4:CD5"/>
    <mergeCell ref="DF4:DN5"/>
    <mergeCell ref="GI6:GK6"/>
    <mergeCell ref="AU4:BC5"/>
    <mergeCell ref="GL4:GL5"/>
    <mergeCell ref="EY4:FG5"/>
    <mergeCell ref="FH4:FP5"/>
    <mergeCell ref="FQ4:FY5"/>
    <mergeCell ref="FZ4:GH5"/>
    <mergeCell ref="DX4:EF5"/>
    <mergeCell ref="EG4:EO5"/>
    <mergeCell ref="EP4:EX5"/>
    <mergeCell ref="GN20:GT20"/>
    <mergeCell ref="GM8:GM9"/>
    <mergeCell ref="CN11:DE11"/>
    <mergeCell ref="DX8:EX8"/>
    <mergeCell ref="DX9:EX9"/>
    <mergeCell ref="GI18:GK20"/>
    <mergeCell ref="DF9:DN9"/>
    <mergeCell ref="DO18:DW20"/>
    <mergeCell ref="DX11:EX11"/>
    <mergeCell ref="DX13:GH14"/>
  </mergeCells>
  <dataValidations disablePrompts="1" count="1">
    <dataValidation type="list" allowBlank="1" showInputMessage="1" showErrorMessage="1" sqref="GO2" xr:uid="{7F863CFA-479C-483F-A408-8ACEBD7539D4}">
      <formula1>AUTO</formula1>
    </dataValidation>
  </dataValidations>
  <pageMargins left="0.7" right="0.7" top="0.75" bottom="0.75" header="0.3" footer="0.3"/>
  <pageSetup orientation="portrait" r:id="rId1"/>
  <ignoredErrors>
    <ignoredError sqref="J9 AA9" formula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9BD2-5146-4614-B29E-9AE9D503B198}">
  <sheetPr codeName="Hoja1"/>
  <dimension ref="A2:U55"/>
  <sheetViews>
    <sheetView topLeftCell="D15" workbookViewId="0">
      <selection activeCell="P23" sqref="P23"/>
    </sheetView>
  </sheetViews>
  <sheetFormatPr baseColWidth="10" defaultColWidth="11.44140625" defaultRowHeight="14.4" x14ac:dyDescent="0.3"/>
  <cols>
    <col min="1" max="1" width="20.33203125" bestFit="1" customWidth="1"/>
    <col min="2" max="2" width="44" customWidth="1"/>
    <col min="3" max="3" width="5.5546875" bestFit="1" customWidth="1"/>
    <col min="4" max="5" width="5.5546875" customWidth="1"/>
    <col min="6" max="6" width="7.5546875" bestFit="1" customWidth="1"/>
    <col min="7" max="8" width="7.5546875" customWidth="1"/>
    <col min="9" max="9" width="5.109375" bestFit="1" customWidth="1"/>
    <col min="10" max="11" width="5.109375" customWidth="1"/>
    <col min="12" max="12" width="23.6640625" bestFit="1" customWidth="1"/>
    <col min="13" max="13" width="2.5546875" customWidth="1"/>
    <col min="14" max="14" width="32.5546875" hidden="1" customWidth="1"/>
    <col min="15" max="16" width="43" bestFit="1" customWidth="1"/>
    <col min="17" max="17" width="14.88671875" bestFit="1" customWidth="1"/>
    <col min="18" max="19" width="26.6640625" customWidth="1"/>
    <col min="20" max="20" width="43.33203125" bestFit="1" customWidth="1"/>
    <col min="21" max="21" width="41.109375" bestFit="1" customWidth="1"/>
  </cols>
  <sheetData>
    <row r="2" spans="1:21" x14ac:dyDescent="0.3">
      <c r="B2" s="516" t="s">
        <v>256</v>
      </c>
      <c r="C2" s="517"/>
      <c r="D2" s="517"/>
      <c r="E2" s="517"/>
      <c r="F2" s="517"/>
      <c r="G2" s="517"/>
      <c r="H2" s="517"/>
      <c r="I2" s="517"/>
      <c r="J2" s="155"/>
      <c r="K2" s="155"/>
      <c r="O2" t="s">
        <v>128</v>
      </c>
    </row>
    <row r="3" spans="1:21" x14ac:dyDescent="0.3">
      <c r="B3" s="17" t="s">
        <v>257</v>
      </c>
      <c r="C3" s="168" t="s">
        <v>176</v>
      </c>
      <c r="D3" s="168" t="s">
        <v>178</v>
      </c>
      <c r="E3" s="168" t="s">
        <v>170</v>
      </c>
      <c r="F3" s="15" t="s">
        <v>168</v>
      </c>
      <c r="G3" s="15" t="s">
        <v>185</v>
      </c>
      <c r="H3" s="15" t="s">
        <v>186</v>
      </c>
      <c r="I3" s="12" t="s">
        <v>187</v>
      </c>
      <c r="J3" s="12" t="s">
        <v>188</v>
      </c>
      <c r="K3" s="12" t="s">
        <v>189</v>
      </c>
      <c r="L3" s="21" t="s">
        <v>227</v>
      </c>
      <c r="O3" t="s">
        <v>63</v>
      </c>
    </row>
    <row r="4" spans="1:21" x14ac:dyDescent="0.3">
      <c r="B4" s="17" t="s">
        <v>258</v>
      </c>
      <c r="C4" s="10">
        <f>'ADMIN TIEMPOS'!$B$2</f>
        <v>5</v>
      </c>
      <c r="D4" s="10">
        <f>'ADMIN TIEMPOS'!$B$3</f>
        <v>10</v>
      </c>
      <c r="E4" s="10">
        <f>'ADMIN TIEMPOS'!$B$4</f>
        <v>15</v>
      </c>
      <c r="F4" s="13">
        <f>'ADMIN TIEMPOS'!$B$5</f>
        <v>30</v>
      </c>
      <c r="G4" s="13">
        <f>'ADMIN TIEMPOS'!$B$6</f>
        <v>45</v>
      </c>
      <c r="H4" s="13">
        <f>'ADMIN TIEMPOS'!$B$7</f>
        <v>60</v>
      </c>
      <c r="I4" s="108">
        <f>'ADMIN TIEMPOS'!$B$8</f>
        <v>90</v>
      </c>
      <c r="J4" s="108">
        <f>'ADMIN TIEMPOS'!$B$9</f>
        <v>120</v>
      </c>
      <c r="K4" s="108">
        <f>'ADMIN TIEMPOS'!$B$10</f>
        <v>180</v>
      </c>
    </row>
    <row r="5" spans="1:21" x14ac:dyDescent="0.3">
      <c r="B5" s="16" t="s">
        <v>259</v>
      </c>
      <c r="C5" s="514" t="s">
        <v>260</v>
      </c>
      <c r="D5" s="515"/>
      <c r="E5" s="515"/>
      <c r="F5" s="515"/>
      <c r="G5" s="515"/>
      <c r="H5" s="515"/>
      <c r="I5" s="515"/>
      <c r="J5" s="157"/>
      <c r="K5" s="157"/>
    </row>
    <row r="6" spans="1:21" x14ac:dyDescent="0.3">
      <c r="A6" s="22" t="s">
        <v>261</v>
      </c>
      <c r="B6" s="16" t="s">
        <v>262</v>
      </c>
      <c r="C6" s="100"/>
      <c r="D6" s="101"/>
      <c r="E6" s="101"/>
      <c r="F6" s="101"/>
      <c r="G6" s="101"/>
      <c r="H6" s="101"/>
      <c r="I6" s="18"/>
      <c r="J6" s="18"/>
      <c r="K6" s="18"/>
      <c r="L6" s="60" t="s">
        <v>263</v>
      </c>
      <c r="O6" s="136" t="s">
        <v>262</v>
      </c>
      <c r="P6" s="137" t="s">
        <v>264</v>
      </c>
      <c r="Q6" s="137" t="s">
        <v>166</v>
      </c>
      <c r="R6" s="160" t="s">
        <v>265</v>
      </c>
      <c r="S6" s="9" t="s">
        <v>266</v>
      </c>
      <c r="T6" s="22" t="s">
        <v>58</v>
      </c>
      <c r="U6" s="22" t="s">
        <v>267</v>
      </c>
    </row>
    <row r="7" spans="1:21" ht="15" customHeight="1" x14ac:dyDescent="0.3">
      <c r="A7" s="23" t="s">
        <v>262</v>
      </c>
      <c r="B7" s="142" t="s">
        <v>268</v>
      </c>
      <c r="C7" s="11">
        <v>0.5</v>
      </c>
      <c r="D7" s="11"/>
      <c r="E7" s="11"/>
      <c r="F7" s="11">
        <v>1.5</v>
      </c>
      <c r="G7" s="11"/>
      <c r="H7" s="11"/>
      <c r="I7" s="11">
        <v>3</v>
      </c>
      <c r="J7" s="11"/>
      <c r="K7" s="11"/>
      <c r="L7" s="61" t="s">
        <v>128</v>
      </c>
      <c r="O7" s="132" t="s">
        <v>269</v>
      </c>
      <c r="P7" s="134" t="s">
        <v>268</v>
      </c>
      <c r="Q7" s="132" t="s">
        <v>166</v>
      </c>
      <c r="R7" s="167" t="s">
        <v>270</v>
      </c>
      <c r="S7" s="159" t="s">
        <v>271</v>
      </c>
      <c r="T7" t="s">
        <v>272</v>
      </c>
      <c r="U7" t="s">
        <v>146</v>
      </c>
    </row>
    <row r="8" spans="1:21" ht="15.75" customHeight="1" x14ac:dyDescent="0.3">
      <c r="A8" s="103" t="s">
        <v>264</v>
      </c>
      <c r="B8" s="144" t="s">
        <v>222</v>
      </c>
      <c r="C8" s="11">
        <v>6</v>
      </c>
      <c r="D8" s="11"/>
      <c r="E8" s="11"/>
      <c r="F8" s="11">
        <v>10</v>
      </c>
      <c r="G8" s="11"/>
      <c r="H8" s="11"/>
      <c r="I8" s="11">
        <v>20</v>
      </c>
      <c r="J8" s="11"/>
      <c r="K8" s="11"/>
      <c r="L8" s="61" t="s">
        <v>273</v>
      </c>
      <c r="O8" s="132" t="s">
        <v>274</v>
      </c>
      <c r="P8" s="132" t="s">
        <v>275</v>
      </c>
      <c r="Q8" s="135"/>
      <c r="R8" s="140" t="s">
        <v>276</v>
      </c>
      <c r="S8" s="159" t="s">
        <v>277</v>
      </c>
      <c r="T8" t="s">
        <v>157</v>
      </c>
      <c r="U8" t="s">
        <v>278</v>
      </c>
    </row>
    <row r="9" spans="1:21" ht="15" customHeight="1" x14ac:dyDescent="0.3">
      <c r="A9" s="103" t="s">
        <v>266</v>
      </c>
      <c r="B9" s="142" t="s">
        <v>275</v>
      </c>
      <c r="C9" s="11">
        <v>4</v>
      </c>
      <c r="D9" s="11"/>
      <c r="E9" s="11"/>
      <c r="F9" s="11">
        <v>6</v>
      </c>
      <c r="G9" s="11"/>
      <c r="H9" s="11"/>
      <c r="I9" s="11">
        <v>8.5</v>
      </c>
      <c r="J9" s="11"/>
      <c r="K9" s="11"/>
      <c r="L9" s="61" t="s">
        <v>128</v>
      </c>
      <c r="O9" s="132" t="s">
        <v>279</v>
      </c>
      <c r="P9" s="133" t="s">
        <v>222</v>
      </c>
      <c r="Q9" s="132"/>
      <c r="R9" s="140" t="s">
        <v>280</v>
      </c>
      <c r="S9" s="159" t="s">
        <v>281</v>
      </c>
      <c r="T9" t="s">
        <v>158</v>
      </c>
      <c r="U9" t="s">
        <v>282</v>
      </c>
    </row>
    <row r="10" spans="1:21" ht="15.75" customHeight="1" x14ac:dyDescent="0.3">
      <c r="A10" s="103" t="s">
        <v>283</v>
      </c>
      <c r="B10" s="142" t="s">
        <v>269</v>
      </c>
      <c r="C10" s="11">
        <v>2</v>
      </c>
      <c r="D10" s="11"/>
      <c r="E10" s="11"/>
      <c r="F10" s="11">
        <v>2</v>
      </c>
      <c r="G10" s="11"/>
      <c r="H10" s="11"/>
      <c r="I10" s="11">
        <v>2</v>
      </c>
      <c r="J10" s="11"/>
      <c r="K10" s="11"/>
      <c r="L10" s="61" t="s">
        <v>128</v>
      </c>
      <c r="O10" s="132" t="s">
        <v>284</v>
      </c>
      <c r="P10" s="133" t="s">
        <v>285</v>
      </c>
      <c r="Q10" s="132"/>
      <c r="R10" s="140"/>
      <c r="S10" s="159" t="s">
        <v>286</v>
      </c>
      <c r="T10" t="s">
        <v>287</v>
      </c>
      <c r="U10" t="s">
        <v>288</v>
      </c>
    </row>
    <row r="11" spans="1:21" ht="15" customHeight="1" x14ac:dyDescent="0.3">
      <c r="A11" s="147" t="s">
        <v>265</v>
      </c>
      <c r="B11" s="142" t="s">
        <v>274</v>
      </c>
      <c r="C11" s="11">
        <v>2</v>
      </c>
      <c r="D11" s="11"/>
      <c r="E11" s="11"/>
      <c r="F11" s="11">
        <v>2</v>
      </c>
      <c r="G11" s="11"/>
      <c r="H11" s="11"/>
      <c r="I11" s="11">
        <v>2</v>
      </c>
      <c r="J11" s="11"/>
      <c r="K11" s="11"/>
      <c r="L11" s="61" t="s">
        <v>128</v>
      </c>
      <c r="O11" s="132" t="s">
        <v>289</v>
      </c>
      <c r="P11" s="135" t="s">
        <v>290</v>
      </c>
      <c r="Q11" s="139"/>
      <c r="R11" s="141"/>
      <c r="S11" s="159" t="s">
        <v>291</v>
      </c>
      <c r="T11" t="s">
        <v>292</v>
      </c>
      <c r="U11" t="s">
        <v>293</v>
      </c>
    </row>
    <row r="12" spans="1:21" ht="14.25" customHeight="1" x14ac:dyDescent="0.3">
      <c r="B12" s="145" t="s">
        <v>279</v>
      </c>
      <c r="C12" s="11">
        <v>0.5</v>
      </c>
      <c r="D12" s="11"/>
      <c r="E12" s="11"/>
      <c r="F12" s="11">
        <v>1.5</v>
      </c>
      <c r="G12" s="11"/>
      <c r="H12" s="11"/>
      <c r="I12" s="11">
        <v>3</v>
      </c>
      <c r="J12" s="11"/>
      <c r="K12" s="11"/>
      <c r="L12" s="61" t="s">
        <v>128</v>
      </c>
      <c r="O12" s="132" t="s">
        <v>294</v>
      </c>
      <c r="P12" s="132" t="s">
        <v>221</v>
      </c>
      <c r="R12" s="159"/>
      <c r="S12" s="159" t="s">
        <v>295</v>
      </c>
      <c r="T12" t="s">
        <v>159</v>
      </c>
      <c r="U12" t="s">
        <v>296</v>
      </c>
    </row>
    <row r="13" spans="1:21" ht="14.25" customHeight="1" x14ac:dyDescent="0.3">
      <c r="B13" s="142" t="s">
        <v>285</v>
      </c>
      <c r="C13" s="11">
        <v>4</v>
      </c>
      <c r="D13" s="11"/>
      <c r="E13" s="11"/>
      <c r="F13" s="11">
        <v>6</v>
      </c>
      <c r="G13" s="11"/>
      <c r="H13" s="11"/>
      <c r="I13" s="11">
        <v>8.5</v>
      </c>
      <c r="J13" s="11"/>
      <c r="K13" s="11"/>
      <c r="L13" s="61" t="s">
        <v>128</v>
      </c>
      <c r="M13" s="19"/>
      <c r="O13" s="132" t="s">
        <v>297</v>
      </c>
      <c r="P13" s="138" t="s">
        <v>298</v>
      </c>
      <c r="R13" s="166"/>
      <c r="S13" s="166"/>
      <c r="T13" t="s">
        <v>299</v>
      </c>
    </row>
    <row r="14" spans="1:21" ht="14.25" customHeight="1" x14ac:dyDescent="0.3">
      <c r="B14" s="144" t="s">
        <v>290</v>
      </c>
      <c r="C14" s="11">
        <v>10</v>
      </c>
      <c r="D14" s="11"/>
      <c r="E14" s="11"/>
      <c r="F14" s="11">
        <v>20</v>
      </c>
      <c r="G14" s="11"/>
      <c r="H14" s="11"/>
      <c r="I14" s="11">
        <v>30</v>
      </c>
      <c r="J14" s="11"/>
      <c r="K14" s="11"/>
      <c r="L14" s="61" t="s">
        <v>273</v>
      </c>
      <c r="M14" s="19"/>
      <c r="O14" s="132" t="s">
        <v>224</v>
      </c>
      <c r="P14" s="7" t="s">
        <v>300</v>
      </c>
      <c r="R14" s="159"/>
      <c r="S14" s="159"/>
      <c r="T14" t="s">
        <v>301</v>
      </c>
    </row>
    <row r="15" spans="1:21" ht="14.25" customHeight="1" x14ac:dyDescent="0.3">
      <c r="B15" s="146" t="s">
        <v>284</v>
      </c>
      <c r="C15" s="11">
        <v>0.5</v>
      </c>
      <c r="D15" s="11"/>
      <c r="E15" s="11"/>
      <c r="F15" s="11">
        <v>1.5</v>
      </c>
      <c r="G15" s="11"/>
      <c r="H15" s="11"/>
      <c r="I15" s="11">
        <v>3</v>
      </c>
      <c r="J15" s="11"/>
      <c r="K15" s="11"/>
      <c r="L15" s="61" t="s">
        <v>128</v>
      </c>
      <c r="M15" s="19"/>
      <c r="O15" s="132" t="s">
        <v>302</v>
      </c>
      <c r="P15" s="7" t="s">
        <v>303</v>
      </c>
      <c r="R15" s="159"/>
      <c r="S15" s="159"/>
      <c r="T15" t="s">
        <v>304</v>
      </c>
    </row>
    <row r="16" spans="1:21" ht="14.25" customHeight="1" x14ac:dyDescent="0.3">
      <c r="B16" s="142" t="s">
        <v>289</v>
      </c>
      <c r="C16" s="11">
        <v>0.5</v>
      </c>
      <c r="D16" s="11"/>
      <c r="E16" s="11"/>
      <c r="F16" s="11">
        <v>1.5</v>
      </c>
      <c r="G16" s="11"/>
      <c r="H16" s="11"/>
      <c r="I16" s="11">
        <v>3</v>
      </c>
      <c r="J16" s="11"/>
      <c r="K16" s="11"/>
      <c r="L16" s="61" t="s">
        <v>128</v>
      </c>
      <c r="M16" s="19"/>
      <c r="O16" s="132" t="s">
        <v>223</v>
      </c>
      <c r="P16" s="7"/>
      <c r="R16" s="159"/>
      <c r="S16" s="159"/>
      <c r="T16" t="s">
        <v>305</v>
      </c>
    </row>
    <row r="17" spans="1:19" ht="14.25" customHeight="1" x14ac:dyDescent="0.3">
      <c r="B17" s="142" t="s">
        <v>294</v>
      </c>
      <c r="C17" s="11">
        <v>0.5</v>
      </c>
      <c r="D17" s="11"/>
      <c r="E17" s="11"/>
      <c r="F17" s="11">
        <v>1.5</v>
      </c>
      <c r="G17" s="11"/>
      <c r="H17" s="11"/>
      <c r="I17" s="11">
        <v>3</v>
      </c>
      <c r="J17" s="11"/>
      <c r="K17" s="11"/>
      <c r="L17" s="61" t="s">
        <v>63</v>
      </c>
      <c r="M17" s="19"/>
      <c r="O17" s="132"/>
      <c r="R17" s="159"/>
      <c r="S17" s="159"/>
    </row>
    <row r="18" spans="1:19" ht="14.25" customHeight="1" x14ac:dyDescent="0.3">
      <c r="B18" s="144" t="s">
        <v>221</v>
      </c>
      <c r="C18" s="11">
        <v>20</v>
      </c>
      <c r="D18" s="11"/>
      <c r="E18" s="11"/>
      <c r="F18" s="11">
        <v>30</v>
      </c>
      <c r="G18" s="11"/>
      <c r="H18" s="11"/>
      <c r="I18" s="11">
        <v>48</v>
      </c>
      <c r="J18" s="11"/>
      <c r="K18" s="11"/>
      <c r="L18" s="61" t="s">
        <v>273</v>
      </c>
      <c r="M18" s="19"/>
      <c r="O18" s="7"/>
      <c r="R18" s="159"/>
      <c r="S18" s="159"/>
    </row>
    <row r="19" spans="1:19" ht="15" customHeight="1" x14ac:dyDescent="0.3">
      <c r="B19" s="142" t="s">
        <v>297</v>
      </c>
      <c r="C19" s="11">
        <v>0.5</v>
      </c>
      <c r="D19" s="11"/>
      <c r="E19" s="11"/>
      <c r="F19" s="11">
        <v>1.5</v>
      </c>
      <c r="G19" s="11"/>
      <c r="H19" s="11"/>
      <c r="I19" s="11">
        <v>3</v>
      </c>
      <c r="J19" s="11"/>
      <c r="K19" s="11"/>
      <c r="L19" s="61" t="s">
        <v>128</v>
      </c>
      <c r="M19" s="19"/>
      <c r="R19" s="159"/>
      <c r="S19" s="159"/>
    </row>
    <row r="20" spans="1:19" ht="14.25" customHeight="1" x14ac:dyDescent="0.3">
      <c r="B20" s="144" t="s">
        <v>227</v>
      </c>
      <c r="C20" s="11"/>
      <c r="D20" s="11"/>
      <c r="E20" s="11"/>
      <c r="F20" s="11"/>
      <c r="G20" s="11"/>
      <c r="H20" s="11"/>
      <c r="I20" s="105"/>
      <c r="J20" s="20"/>
      <c r="K20" s="20"/>
      <c r="M20" s="19"/>
      <c r="P20" t="s">
        <v>306</v>
      </c>
      <c r="R20" s="159"/>
      <c r="S20" s="159"/>
    </row>
    <row r="21" spans="1:19" ht="14.25" customHeight="1" x14ac:dyDescent="0.3">
      <c r="B21" s="144" t="s">
        <v>224</v>
      </c>
      <c r="C21" s="11">
        <v>4</v>
      </c>
      <c r="D21" s="11"/>
      <c r="E21" s="11"/>
      <c r="F21" s="11">
        <v>6</v>
      </c>
      <c r="G21" s="11"/>
      <c r="H21" s="11"/>
      <c r="I21" s="11">
        <v>10</v>
      </c>
      <c r="J21" s="11"/>
      <c r="K21" s="11"/>
      <c r="L21" s="61" t="s">
        <v>273</v>
      </c>
      <c r="P21" t="s">
        <v>167</v>
      </c>
      <c r="R21" s="159"/>
      <c r="S21" s="159"/>
    </row>
    <row r="22" spans="1:19" ht="14.25" customHeight="1" x14ac:dyDescent="0.3">
      <c r="B22" s="142" t="s">
        <v>298</v>
      </c>
      <c r="C22" s="11">
        <v>2</v>
      </c>
      <c r="D22" s="11"/>
      <c r="E22" s="11"/>
      <c r="F22" s="11">
        <v>2</v>
      </c>
      <c r="G22" s="11"/>
      <c r="H22" s="11"/>
      <c r="I22" s="11">
        <v>2</v>
      </c>
      <c r="J22" s="11"/>
      <c r="K22" s="11"/>
      <c r="L22" s="61" t="s">
        <v>273</v>
      </c>
      <c r="P22" t="s">
        <v>307</v>
      </c>
      <c r="R22" s="159"/>
      <c r="S22" s="159"/>
    </row>
    <row r="23" spans="1:19" ht="14.25" customHeight="1" x14ac:dyDescent="0.3">
      <c r="B23" s="146" t="s">
        <v>300</v>
      </c>
      <c r="C23" s="11">
        <v>2.65</v>
      </c>
      <c r="D23" s="11"/>
      <c r="E23" s="11"/>
      <c r="F23" s="11">
        <v>2.65</v>
      </c>
      <c r="G23" s="11"/>
      <c r="H23" s="11"/>
      <c r="I23" s="11">
        <v>2.65</v>
      </c>
      <c r="J23" s="11"/>
      <c r="K23" s="11"/>
      <c r="L23" s="61" t="s">
        <v>273</v>
      </c>
      <c r="P23" t="s">
        <v>169</v>
      </c>
      <c r="R23" s="159"/>
      <c r="S23" s="159"/>
    </row>
    <row r="24" spans="1:19" ht="14.25" customHeight="1" x14ac:dyDescent="0.3">
      <c r="B24" s="142" t="s">
        <v>303</v>
      </c>
      <c r="C24" s="11">
        <v>8</v>
      </c>
      <c r="D24" s="11"/>
      <c r="E24" s="11"/>
      <c r="F24" s="11">
        <v>8</v>
      </c>
      <c r="G24" s="11"/>
      <c r="H24" s="11"/>
      <c r="I24" s="11">
        <v>8</v>
      </c>
      <c r="J24" s="11"/>
      <c r="K24" s="11"/>
      <c r="L24" s="61" t="s">
        <v>128</v>
      </c>
      <c r="O24" t="s">
        <v>64</v>
      </c>
      <c r="R24" s="159"/>
      <c r="S24" s="159"/>
    </row>
    <row r="25" spans="1:19" ht="14.25" customHeight="1" x14ac:dyDescent="0.3">
      <c r="B25" s="142" t="s">
        <v>302</v>
      </c>
      <c r="C25" s="11">
        <v>0.5</v>
      </c>
      <c r="D25" s="11"/>
      <c r="E25" s="11"/>
      <c r="F25" s="11">
        <v>0.5</v>
      </c>
      <c r="G25" s="11"/>
      <c r="H25" s="11"/>
      <c r="I25" s="11">
        <v>0.5</v>
      </c>
      <c r="J25" s="11"/>
      <c r="K25" s="11"/>
      <c r="L25" s="61" t="s">
        <v>128</v>
      </c>
      <c r="O25" t="s">
        <v>308</v>
      </c>
      <c r="R25" s="159"/>
      <c r="S25" s="159"/>
    </row>
    <row r="26" spans="1:19" ht="14.25" customHeight="1" x14ac:dyDescent="0.3">
      <c r="B26" s="144" t="s">
        <v>223</v>
      </c>
      <c r="C26" s="11">
        <v>8</v>
      </c>
      <c r="D26" s="11"/>
      <c r="E26" s="11"/>
      <c r="F26" s="11">
        <v>15</v>
      </c>
      <c r="G26" s="11"/>
      <c r="H26" s="11"/>
      <c r="I26" s="11">
        <v>25</v>
      </c>
      <c r="J26" s="11"/>
      <c r="K26" s="11"/>
      <c r="L26" s="61" t="s">
        <v>273</v>
      </c>
      <c r="O26" t="s">
        <v>309</v>
      </c>
      <c r="R26" s="159"/>
      <c r="S26" s="159"/>
    </row>
    <row r="27" spans="1:19" ht="14.25" customHeight="1" x14ac:dyDescent="0.3">
      <c r="B27" s="8" t="s">
        <v>166</v>
      </c>
      <c r="O27" t="s">
        <v>310</v>
      </c>
      <c r="R27" s="159"/>
      <c r="S27" s="159"/>
    </row>
    <row r="28" spans="1:19" ht="14.25" customHeight="1" x14ac:dyDescent="0.3">
      <c r="A28" s="171" t="s">
        <v>263</v>
      </c>
      <c r="B28" s="8" t="s">
        <v>311</v>
      </c>
      <c r="M28" s="19"/>
      <c r="N28" s="19"/>
      <c r="O28" s="20" t="s">
        <v>312</v>
      </c>
    </row>
    <row r="29" spans="1:19" ht="14.25" customHeight="1" x14ac:dyDescent="0.3">
      <c r="A29" s="132" t="s">
        <v>128</v>
      </c>
      <c r="B29" s="8" t="s">
        <v>271</v>
      </c>
      <c r="O29" t="s">
        <v>64</v>
      </c>
    </row>
    <row r="30" spans="1:19" ht="14.25" customHeight="1" x14ac:dyDescent="0.3">
      <c r="A30" s="7" t="s">
        <v>63</v>
      </c>
      <c r="B30" s="8" t="s">
        <v>277</v>
      </c>
    </row>
    <row r="31" spans="1:19" ht="14.25" customHeight="1" x14ac:dyDescent="0.3">
      <c r="A31" s="21" t="s">
        <v>227</v>
      </c>
      <c r="B31" s="8" t="s">
        <v>281</v>
      </c>
    </row>
    <row r="32" spans="1:19" x14ac:dyDescent="0.3">
      <c r="B32" s="8" t="s">
        <v>286</v>
      </c>
    </row>
    <row r="33" spans="1:11" x14ac:dyDescent="0.3">
      <c r="A33" t="s">
        <v>98</v>
      </c>
      <c r="B33" s="8" t="s">
        <v>291</v>
      </c>
    </row>
    <row r="34" spans="1:11" ht="15" customHeight="1" x14ac:dyDescent="0.3">
      <c r="A34" t="s">
        <v>102</v>
      </c>
      <c r="B34" s="8" t="s">
        <v>295</v>
      </c>
    </row>
    <row r="35" spans="1:11" x14ac:dyDescent="0.3">
      <c r="A35">
        <v>0</v>
      </c>
    </row>
    <row r="36" spans="1:11" x14ac:dyDescent="0.3">
      <c r="A36">
        <v>0.25</v>
      </c>
    </row>
    <row r="37" spans="1:11" x14ac:dyDescent="0.3">
      <c r="A37">
        <v>0.5</v>
      </c>
    </row>
    <row r="38" spans="1:11" x14ac:dyDescent="0.3">
      <c r="A38">
        <v>0.75</v>
      </c>
    </row>
    <row r="39" spans="1:11" x14ac:dyDescent="0.3">
      <c r="A39">
        <v>1</v>
      </c>
    </row>
    <row r="40" spans="1:11" x14ac:dyDescent="0.3">
      <c r="A40">
        <v>1.25</v>
      </c>
    </row>
    <row r="41" spans="1:11" x14ac:dyDescent="0.3">
      <c r="A41">
        <v>1.5</v>
      </c>
      <c r="C41" s="19"/>
      <c r="D41" s="19"/>
      <c r="E41" s="19"/>
      <c r="F41" s="19"/>
      <c r="G41" s="19"/>
      <c r="H41" s="19"/>
      <c r="I41" s="20"/>
      <c r="J41" s="20"/>
      <c r="K41" s="20"/>
    </row>
    <row r="42" spans="1:11" x14ac:dyDescent="0.3">
      <c r="A42">
        <v>1.75</v>
      </c>
    </row>
    <row r="43" spans="1:11" x14ac:dyDescent="0.3">
      <c r="A43">
        <v>2</v>
      </c>
      <c r="C43" s="19"/>
      <c r="D43" s="19"/>
      <c r="E43" s="19"/>
      <c r="F43" s="19"/>
      <c r="G43" s="19"/>
      <c r="H43" s="19"/>
      <c r="I43" s="20"/>
      <c r="J43" s="20"/>
      <c r="K43" s="20"/>
    </row>
    <row r="44" spans="1:11" x14ac:dyDescent="0.3">
      <c r="A44">
        <v>2.25</v>
      </c>
      <c r="C44" s="19"/>
      <c r="D44" s="19"/>
      <c r="E44" s="19"/>
      <c r="F44" s="19"/>
      <c r="G44" s="19"/>
      <c r="H44" s="19"/>
      <c r="I44" s="20"/>
      <c r="J44" s="20"/>
      <c r="K44" s="20"/>
    </row>
    <row r="45" spans="1:11" x14ac:dyDescent="0.3">
      <c r="A45">
        <v>2.5</v>
      </c>
      <c r="C45" s="19"/>
      <c r="D45" s="19"/>
      <c r="E45" s="19"/>
      <c r="F45" s="19"/>
      <c r="G45" s="19"/>
      <c r="H45" s="19"/>
      <c r="I45" s="20"/>
      <c r="J45" s="20"/>
      <c r="K45" s="20"/>
    </row>
    <row r="46" spans="1:11" x14ac:dyDescent="0.3">
      <c r="A46">
        <v>2.75</v>
      </c>
      <c r="B46" s="9"/>
    </row>
    <row r="47" spans="1:11" x14ac:dyDescent="0.3">
      <c r="A47">
        <v>3</v>
      </c>
      <c r="B47" s="9"/>
    </row>
    <row r="48" spans="1:11" x14ac:dyDescent="0.3">
      <c r="B48" s="9"/>
    </row>
    <row r="49" spans="2:12" x14ac:dyDescent="0.3">
      <c r="B49" s="9"/>
    </row>
    <row r="50" spans="2:12" x14ac:dyDescent="0.3">
      <c r="L50" s="9"/>
    </row>
    <row r="55" spans="2:12" x14ac:dyDescent="0.3">
      <c r="L55" s="9"/>
    </row>
  </sheetData>
  <mergeCells count="2">
    <mergeCell ref="C5:I5"/>
    <mergeCell ref="B2:I2"/>
  </mergeCell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6A2E9-7FC0-4F16-81F8-8DD67EA80666}">
  <sheetPr codeName="Hoja7"/>
  <dimension ref="A1:P92"/>
  <sheetViews>
    <sheetView topLeftCell="A52" workbookViewId="0">
      <selection activeCell="F2" sqref="F2"/>
    </sheetView>
  </sheetViews>
  <sheetFormatPr baseColWidth="10" defaultColWidth="11.44140625" defaultRowHeight="14.4" x14ac:dyDescent="0.3"/>
  <cols>
    <col min="1" max="1" width="38.44140625" bestFit="1" customWidth="1"/>
  </cols>
  <sheetData>
    <row r="1" spans="1:16" x14ac:dyDescent="0.3">
      <c r="A1" s="10" t="s">
        <v>313</v>
      </c>
      <c r="B1" s="10" t="s">
        <v>314</v>
      </c>
      <c r="C1" s="10" t="s">
        <v>315</v>
      </c>
      <c r="D1" s="13" t="s">
        <v>316</v>
      </c>
      <c r="E1" s="13" t="s">
        <v>317</v>
      </c>
      <c r="F1" s="13" t="s">
        <v>318</v>
      </c>
      <c r="G1" s="108" t="s">
        <v>319</v>
      </c>
      <c r="H1" s="108" t="s">
        <v>320</v>
      </c>
      <c r="I1" s="108" t="s">
        <v>321</v>
      </c>
    </row>
    <row r="2" spans="1:16" x14ac:dyDescent="0.3">
      <c r="A2" s="106">
        <v>5</v>
      </c>
      <c r="B2" s="106">
        <v>10</v>
      </c>
      <c r="C2" s="106">
        <v>15</v>
      </c>
      <c r="D2" s="107">
        <v>30</v>
      </c>
      <c r="E2" s="107">
        <v>45</v>
      </c>
      <c r="F2" s="107">
        <v>60</v>
      </c>
      <c r="G2" s="107">
        <v>90</v>
      </c>
      <c r="H2" s="156">
        <v>120</v>
      </c>
      <c r="I2" s="156">
        <v>180</v>
      </c>
    </row>
    <row r="3" spans="1:16" ht="15" thickBot="1" x14ac:dyDescent="0.35"/>
    <row r="4" spans="1:16" ht="15" thickBot="1" x14ac:dyDescent="0.35">
      <c r="A4" s="125" t="s">
        <v>312</v>
      </c>
      <c r="B4" s="535" t="s">
        <v>322</v>
      </c>
      <c r="C4" s="535"/>
      <c r="D4" s="535"/>
      <c r="E4" s="535"/>
      <c r="F4" s="535"/>
      <c r="G4" s="535"/>
      <c r="H4" s="535"/>
      <c r="I4" s="535"/>
      <c r="J4" s="535"/>
      <c r="K4" s="535"/>
      <c r="L4" s="535"/>
      <c r="M4" s="535"/>
      <c r="N4" s="535"/>
      <c r="O4" s="535"/>
      <c r="P4" s="536"/>
    </row>
    <row r="5" spans="1:16" ht="15" customHeight="1" thickBot="1" x14ac:dyDescent="0.35">
      <c r="A5" s="126" t="s">
        <v>310</v>
      </c>
      <c r="B5" s="535" t="s">
        <v>323</v>
      </c>
      <c r="C5" s="535"/>
      <c r="D5" s="535"/>
      <c r="E5" s="535"/>
      <c r="F5" s="535"/>
      <c r="G5" s="535"/>
      <c r="H5" s="535"/>
      <c r="I5" s="535"/>
      <c r="J5" s="535"/>
      <c r="K5" s="535"/>
      <c r="L5" s="535"/>
      <c r="M5" s="535"/>
      <c r="N5" s="535"/>
      <c r="O5" s="535"/>
      <c r="P5" s="536"/>
    </row>
    <row r="6" spans="1:16" ht="15" customHeight="1" x14ac:dyDescent="0.3">
      <c r="A6" s="127" t="s">
        <v>309</v>
      </c>
      <c r="B6" s="535" t="s">
        <v>324</v>
      </c>
      <c r="C6" s="535"/>
      <c r="D6" s="535"/>
      <c r="E6" s="535"/>
      <c r="F6" s="535"/>
      <c r="G6" s="535"/>
      <c r="H6" s="535"/>
      <c r="I6" s="535"/>
      <c r="J6" s="535"/>
      <c r="K6" s="535"/>
      <c r="L6" s="535"/>
      <c r="M6" s="535"/>
      <c r="N6" s="535"/>
      <c r="O6" s="535"/>
      <c r="P6" s="536"/>
    </row>
    <row r="7" spans="1:16" ht="15" thickBot="1" x14ac:dyDescent="0.35">
      <c r="A7" s="537" t="s">
        <v>325</v>
      </c>
      <c r="B7" s="538"/>
      <c r="C7" s="538"/>
      <c r="D7" s="538"/>
      <c r="E7" s="538"/>
      <c r="F7" s="538"/>
      <c r="G7" s="538"/>
      <c r="H7" s="538"/>
      <c r="I7" s="538"/>
      <c r="J7" s="538"/>
      <c r="K7" s="538"/>
      <c r="L7" s="538"/>
      <c r="M7" s="538"/>
      <c r="N7" s="538"/>
      <c r="O7" s="538"/>
      <c r="P7" s="539"/>
    </row>
    <row r="8" spans="1:16" ht="15" thickBot="1" x14ac:dyDescent="0.35">
      <c r="A8" s="124"/>
      <c r="B8" s="124"/>
      <c r="C8" s="124"/>
      <c r="D8" s="124"/>
      <c r="E8" s="128"/>
      <c r="F8" s="124"/>
      <c r="G8" s="124"/>
      <c r="H8" s="124"/>
      <c r="I8" s="124"/>
      <c r="J8" s="124"/>
      <c r="K8" s="124"/>
      <c r="L8" s="124"/>
      <c r="M8" s="124"/>
      <c r="N8" s="124"/>
      <c r="O8" s="123"/>
      <c r="P8" s="123"/>
    </row>
    <row r="9" spans="1:16" x14ac:dyDescent="0.3">
      <c r="A9" s="129" t="s">
        <v>326</v>
      </c>
      <c r="B9" s="540" t="s">
        <v>51</v>
      </c>
      <c r="C9" s="540"/>
      <c r="D9" s="540"/>
      <c r="E9" s="541" t="s">
        <v>327</v>
      </c>
      <c r="F9" s="541"/>
      <c r="G9" s="541"/>
      <c r="H9" s="541"/>
      <c r="I9" s="541"/>
      <c r="J9" s="541"/>
      <c r="K9" s="541"/>
      <c r="L9" s="541"/>
      <c r="M9" s="541"/>
      <c r="N9" s="541"/>
      <c r="O9" s="541"/>
      <c r="P9" s="542"/>
    </row>
    <row r="10" spans="1:16" x14ac:dyDescent="0.3">
      <c r="A10" s="532"/>
      <c r="B10" s="534" t="s">
        <v>52</v>
      </c>
      <c r="C10" s="534"/>
      <c r="D10" s="534"/>
      <c r="E10" s="525" t="s">
        <v>328</v>
      </c>
      <c r="F10" s="525"/>
      <c r="G10" s="525"/>
      <c r="H10" s="525"/>
      <c r="I10" s="525"/>
      <c r="J10" s="525"/>
      <c r="K10" s="525"/>
      <c r="L10" s="525"/>
      <c r="M10" s="525"/>
      <c r="N10" s="525"/>
      <c r="O10" s="525"/>
      <c r="P10" s="526"/>
    </row>
    <row r="11" spans="1:16" x14ac:dyDescent="0.3">
      <c r="A11" s="532"/>
      <c r="B11" s="534" t="s">
        <v>53</v>
      </c>
      <c r="C11" s="534"/>
      <c r="D11" s="534"/>
      <c r="E11" s="525" t="s">
        <v>329</v>
      </c>
      <c r="F11" s="525"/>
      <c r="G11" s="525"/>
      <c r="H11" s="525"/>
      <c r="I11" s="525"/>
      <c r="J11" s="525"/>
      <c r="K11" s="525"/>
      <c r="L11" s="525"/>
      <c r="M11" s="525"/>
      <c r="N11" s="525"/>
      <c r="O11" s="525"/>
      <c r="P11" s="526"/>
    </row>
    <row r="12" spans="1:16" x14ac:dyDescent="0.3">
      <c r="A12" s="532"/>
      <c r="B12" s="534" t="s">
        <v>330</v>
      </c>
      <c r="C12" s="534"/>
      <c r="D12" s="534"/>
      <c r="E12" s="525" t="s">
        <v>331</v>
      </c>
      <c r="F12" s="525"/>
      <c r="G12" s="525"/>
      <c r="H12" s="525"/>
      <c r="I12" s="525"/>
      <c r="J12" s="525"/>
      <c r="K12" s="525"/>
      <c r="L12" s="525"/>
      <c r="M12" s="525"/>
      <c r="N12" s="525"/>
      <c r="O12" s="525"/>
      <c r="P12" s="526"/>
    </row>
    <row r="13" spans="1:16" x14ac:dyDescent="0.3">
      <c r="A13" s="532"/>
      <c r="B13" s="534" t="s">
        <v>332</v>
      </c>
      <c r="C13" s="534"/>
      <c r="D13" s="534"/>
      <c r="E13" s="525" t="s">
        <v>331</v>
      </c>
      <c r="F13" s="525"/>
      <c r="G13" s="525"/>
      <c r="H13" s="525"/>
      <c r="I13" s="525"/>
      <c r="J13" s="525"/>
      <c r="K13" s="525"/>
      <c r="L13" s="525"/>
      <c r="M13" s="525"/>
      <c r="N13" s="525"/>
      <c r="O13" s="525"/>
      <c r="P13" s="526"/>
    </row>
    <row r="14" spans="1:16" x14ac:dyDescent="0.3">
      <c r="A14" s="532"/>
      <c r="B14" s="534" t="s">
        <v>333</v>
      </c>
      <c r="C14" s="534"/>
      <c r="D14" s="534"/>
      <c r="E14" s="525" t="s">
        <v>331</v>
      </c>
      <c r="F14" s="525"/>
      <c r="G14" s="525"/>
      <c r="H14" s="525"/>
      <c r="I14" s="525"/>
      <c r="J14" s="525"/>
      <c r="K14" s="525"/>
      <c r="L14" s="525"/>
      <c r="M14" s="525"/>
      <c r="N14" s="525"/>
      <c r="O14" s="525"/>
      <c r="P14" s="526"/>
    </row>
    <row r="15" spans="1:16" x14ac:dyDescent="0.3">
      <c r="A15" s="532"/>
      <c r="B15" s="521" t="s">
        <v>111</v>
      </c>
      <c r="C15" s="521"/>
      <c r="D15" s="521"/>
      <c r="E15" s="525" t="s">
        <v>331</v>
      </c>
      <c r="F15" s="525"/>
      <c r="G15" s="525"/>
      <c r="H15" s="525"/>
      <c r="I15" s="525"/>
      <c r="J15" s="525"/>
      <c r="K15" s="525"/>
      <c r="L15" s="525"/>
      <c r="M15" s="525"/>
      <c r="N15" s="525"/>
      <c r="O15" s="525"/>
      <c r="P15" s="526"/>
    </row>
    <row r="16" spans="1:16" x14ac:dyDescent="0.3">
      <c r="A16" s="532"/>
      <c r="B16" s="521" t="s">
        <v>111</v>
      </c>
      <c r="C16" s="521"/>
      <c r="D16" s="521"/>
      <c r="E16" s="525" t="s">
        <v>331</v>
      </c>
      <c r="F16" s="525"/>
      <c r="G16" s="525"/>
      <c r="H16" s="525"/>
      <c r="I16" s="525"/>
      <c r="J16" s="525"/>
      <c r="K16" s="525"/>
      <c r="L16" s="525"/>
      <c r="M16" s="525"/>
      <c r="N16" s="525"/>
      <c r="O16" s="525"/>
      <c r="P16" s="526"/>
    </row>
    <row r="17" spans="1:16" x14ac:dyDescent="0.3">
      <c r="A17" s="532"/>
      <c r="B17" s="534" t="s">
        <v>129</v>
      </c>
      <c r="C17" s="534"/>
      <c r="D17" s="534"/>
      <c r="E17" s="525" t="s">
        <v>331</v>
      </c>
      <c r="F17" s="525"/>
      <c r="G17" s="525"/>
      <c r="H17" s="525"/>
      <c r="I17" s="525"/>
      <c r="J17" s="525"/>
      <c r="K17" s="525"/>
      <c r="L17" s="525"/>
      <c r="M17" s="525"/>
      <c r="N17" s="525"/>
      <c r="O17" s="525"/>
      <c r="P17" s="526"/>
    </row>
    <row r="18" spans="1:16" x14ac:dyDescent="0.3">
      <c r="A18" s="532"/>
      <c r="B18" s="534" t="s">
        <v>57</v>
      </c>
      <c r="C18" s="534"/>
      <c r="D18" s="534"/>
      <c r="E18" s="525" t="s">
        <v>331</v>
      </c>
      <c r="F18" s="525"/>
      <c r="G18" s="525"/>
      <c r="H18" s="525"/>
      <c r="I18" s="525"/>
      <c r="J18" s="525"/>
      <c r="K18" s="525"/>
      <c r="L18" s="525"/>
      <c r="M18" s="525"/>
      <c r="N18" s="525"/>
      <c r="O18" s="525"/>
      <c r="P18" s="526"/>
    </row>
    <row r="19" spans="1:16" x14ac:dyDescent="0.3">
      <c r="A19" s="532"/>
      <c r="B19" s="534" t="s">
        <v>114</v>
      </c>
      <c r="C19" s="534"/>
      <c r="D19" s="534"/>
      <c r="E19" s="525" t="s">
        <v>331</v>
      </c>
      <c r="F19" s="525"/>
      <c r="G19" s="525"/>
      <c r="H19" s="525"/>
      <c r="I19" s="525"/>
      <c r="J19" s="525"/>
      <c r="K19" s="525"/>
      <c r="L19" s="525"/>
      <c r="M19" s="525"/>
      <c r="N19" s="525"/>
      <c r="O19" s="525"/>
      <c r="P19" s="526"/>
    </row>
    <row r="20" spans="1:16" x14ac:dyDescent="0.3">
      <c r="A20" s="532"/>
      <c r="B20" s="534" t="s">
        <v>68</v>
      </c>
      <c r="C20" s="534"/>
      <c r="D20" s="534"/>
      <c r="E20" s="525" t="s">
        <v>331</v>
      </c>
      <c r="F20" s="525"/>
      <c r="G20" s="525"/>
      <c r="H20" s="525"/>
      <c r="I20" s="525"/>
      <c r="J20" s="525"/>
      <c r="K20" s="525"/>
      <c r="L20" s="525"/>
      <c r="M20" s="525"/>
      <c r="N20" s="525"/>
      <c r="O20" s="525"/>
      <c r="P20" s="526"/>
    </row>
    <row r="21" spans="1:16" x14ac:dyDescent="0.3">
      <c r="A21" s="532"/>
      <c r="B21" s="534" t="s">
        <v>70</v>
      </c>
      <c r="C21" s="534"/>
      <c r="D21" s="534"/>
      <c r="E21" s="525" t="s">
        <v>331</v>
      </c>
      <c r="F21" s="525"/>
      <c r="G21" s="525"/>
      <c r="H21" s="525"/>
      <c r="I21" s="525"/>
      <c r="J21" s="525"/>
      <c r="K21" s="525"/>
      <c r="L21" s="525"/>
      <c r="M21" s="525"/>
      <c r="N21" s="525"/>
      <c r="O21" s="525"/>
      <c r="P21" s="526"/>
    </row>
    <row r="22" spans="1:16" x14ac:dyDescent="0.3">
      <c r="A22" s="532"/>
      <c r="B22" s="534" t="s">
        <v>72</v>
      </c>
      <c r="C22" s="534"/>
      <c r="D22" s="534"/>
      <c r="E22" s="525" t="s">
        <v>331</v>
      </c>
      <c r="F22" s="525"/>
      <c r="G22" s="525"/>
      <c r="H22" s="525"/>
      <c r="I22" s="525"/>
      <c r="J22" s="525"/>
      <c r="K22" s="525"/>
      <c r="L22" s="525"/>
      <c r="M22" s="525"/>
      <c r="N22" s="525"/>
      <c r="O22" s="525"/>
      <c r="P22" s="526"/>
    </row>
    <row r="23" spans="1:16" x14ac:dyDescent="0.3">
      <c r="A23" s="532"/>
      <c r="B23" s="534" t="s">
        <v>334</v>
      </c>
      <c r="C23" s="534"/>
      <c r="D23" s="534"/>
      <c r="E23" s="525" t="s">
        <v>331</v>
      </c>
      <c r="F23" s="525"/>
      <c r="G23" s="525"/>
      <c r="H23" s="525"/>
      <c r="I23" s="525"/>
      <c r="J23" s="525"/>
      <c r="K23" s="525"/>
      <c r="L23" s="525"/>
      <c r="M23" s="525"/>
      <c r="N23" s="525"/>
      <c r="O23" s="525"/>
      <c r="P23" s="526"/>
    </row>
    <row r="24" spans="1:16" x14ac:dyDescent="0.3">
      <c r="A24" s="532"/>
      <c r="B24" s="534" t="s">
        <v>74</v>
      </c>
      <c r="C24" s="534"/>
      <c r="D24" s="534"/>
      <c r="E24" s="525" t="s">
        <v>331</v>
      </c>
      <c r="F24" s="525"/>
      <c r="G24" s="525"/>
      <c r="H24" s="525"/>
      <c r="I24" s="525"/>
      <c r="J24" s="525"/>
      <c r="K24" s="525"/>
      <c r="L24" s="525"/>
      <c r="M24" s="525"/>
      <c r="N24" s="525"/>
      <c r="O24" s="525"/>
      <c r="P24" s="526"/>
    </row>
    <row r="25" spans="1:16" x14ac:dyDescent="0.3">
      <c r="A25" s="532"/>
      <c r="B25" s="534" t="s">
        <v>335</v>
      </c>
      <c r="C25" s="534"/>
      <c r="D25" s="534"/>
      <c r="E25" s="525" t="s">
        <v>331</v>
      </c>
      <c r="F25" s="525"/>
      <c r="G25" s="525"/>
      <c r="H25" s="525"/>
      <c r="I25" s="525"/>
      <c r="J25" s="525"/>
      <c r="K25" s="525"/>
      <c r="L25" s="525"/>
      <c r="M25" s="525"/>
      <c r="N25" s="525"/>
      <c r="O25" s="525"/>
      <c r="P25" s="526"/>
    </row>
    <row r="26" spans="1:16" x14ac:dyDescent="0.3">
      <c r="A26" s="532"/>
      <c r="B26" s="534" t="s">
        <v>336</v>
      </c>
      <c r="C26" s="534"/>
      <c r="D26" s="534"/>
      <c r="E26" s="525" t="s">
        <v>331</v>
      </c>
      <c r="F26" s="525"/>
      <c r="G26" s="525"/>
      <c r="H26" s="525"/>
      <c r="I26" s="525"/>
      <c r="J26" s="525"/>
      <c r="K26" s="525"/>
      <c r="L26" s="525"/>
      <c r="M26" s="525"/>
      <c r="N26" s="525"/>
      <c r="O26" s="525"/>
      <c r="P26" s="526"/>
    </row>
    <row r="27" spans="1:16" x14ac:dyDescent="0.3">
      <c r="A27" s="532"/>
      <c r="B27" s="534" t="s">
        <v>82</v>
      </c>
      <c r="C27" s="534"/>
      <c r="D27" s="534"/>
      <c r="E27" s="525" t="s">
        <v>331</v>
      </c>
      <c r="F27" s="525"/>
      <c r="G27" s="525"/>
      <c r="H27" s="525"/>
      <c r="I27" s="525"/>
      <c r="J27" s="525"/>
      <c r="K27" s="525"/>
      <c r="L27" s="525"/>
      <c r="M27" s="525"/>
      <c r="N27" s="525"/>
      <c r="O27" s="525"/>
      <c r="P27" s="526"/>
    </row>
    <row r="28" spans="1:16" x14ac:dyDescent="0.3">
      <c r="A28" s="532"/>
      <c r="B28" s="534" t="s">
        <v>337</v>
      </c>
      <c r="C28" s="534"/>
      <c r="D28" s="534"/>
      <c r="E28" s="525" t="s">
        <v>331</v>
      </c>
      <c r="F28" s="525"/>
      <c r="G28" s="525"/>
      <c r="H28" s="525"/>
      <c r="I28" s="525"/>
      <c r="J28" s="525"/>
      <c r="K28" s="525"/>
      <c r="L28" s="525"/>
      <c r="M28" s="525"/>
      <c r="N28" s="525"/>
      <c r="O28" s="525"/>
      <c r="P28" s="526"/>
    </row>
    <row r="29" spans="1:16" x14ac:dyDescent="0.3">
      <c r="A29" s="532"/>
      <c r="B29" s="534" t="s">
        <v>338</v>
      </c>
      <c r="C29" s="534"/>
      <c r="D29" s="534"/>
      <c r="E29" s="525" t="s">
        <v>331</v>
      </c>
      <c r="F29" s="525"/>
      <c r="G29" s="525"/>
      <c r="H29" s="525"/>
      <c r="I29" s="525"/>
      <c r="J29" s="525"/>
      <c r="K29" s="525"/>
      <c r="L29" s="525"/>
      <c r="M29" s="525"/>
      <c r="N29" s="525"/>
      <c r="O29" s="525"/>
      <c r="P29" s="526"/>
    </row>
    <row r="30" spans="1:16" x14ac:dyDescent="0.3">
      <c r="A30" s="532"/>
      <c r="B30" s="534" t="s">
        <v>339</v>
      </c>
      <c r="C30" s="534"/>
      <c r="D30" s="534"/>
      <c r="E30" s="525" t="s">
        <v>340</v>
      </c>
      <c r="F30" s="525"/>
      <c r="G30" s="525"/>
      <c r="H30" s="525"/>
      <c r="I30" s="525"/>
      <c r="J30" s="525"/>
      <c r="K30" s="525"/>
      <c r="L30" s="525"/>
      <c r="M30" s="525"/>
      <c r="N30" s="525"/>
      <c r="O30" s="525"/>
      <c r="P30" s="526"/>
    </row>
    <row r="31" spans="1:16" x14ac:dyDescent="0.3">
      <c r="A31" s="532"/>
      <c r="B31" s="534" t="s">
        <v>103</v>
      </c>
      <c r="C31" s="534"/>
      <c r="D31" s="534"/>
      <c r="E31" s="525" t="s">
        <v>331</v>
      </c>
      <c r="F31" s="525"/>
      <c r="G31" s="525"/>
      <c r="H31" s="525"/>
      <c r="I31" s="525"/>
      <c r="J31" s="525"/>
      <c r="K31" s="525"/>
      <c r="L31" s="525"/>
      <c r="M31" s="525"/>
      <c r="N31" s="525"/>
      <c r="O31" s="525"/>
      <c r="P31" s="526"/>
    </row>
    <row r="32" spans="1:16" x14ac:dyDescent="0.3">
      <c r="A32" s="532"/>
      <c r="B32" s="534" t="s">
        <v>107</v>
      </c>
      <c r="C32" s="534"/>
      <c r="D32" s="534"/>
      <c r="E32" s="525" t="s">
        <v>331</v>
      </c>
      <c r="F32" s="525"/>
      <c r="G32" s="525"/>
      <c r="H32" s="525"/>
      <c r="I32" s="525"/>
      <c r="J32" s="525"/>
      <c r="K32" s="525"/>
      <c r="L32" s="525"/>
      <c r="M32" s="525"/>
      <c r="N32" s="525"/>
      <c r="O32" s="525"/>
      <c r="P32" s="526"/>
    </row>
    <row r="33" spans="1:16" x14ac:dyDescent="0.3">
      <c r="A33" s="532"/>
      <c r="B33" s="534" t="s">
        <v>110</v>
      </c>
      <c r="C33" s="534"/>
      <c r="D33" s="534"/>
      <c r="E33" s="525" t="s">
        <v>331</v>
      </c>
      <c r="F33" s="525"/>
      <c r="G33" s="525"/>
      <c r="H33" s="525"/>
      <c r="I33" s="525"/>
      <c r="J33" s="525"/>
      <c r="K33" s="525"/>
      <c r="L33" s="525"/>
      <c r="M33" s="525"/>
      <c r="N33" s="525"/>
      <c r="O33" s="525"/>
      <c r="P33" s="526"/>
    </row>
    <row r="34" spans="1:16" x14ac:dyDescent="0.3">
      <c r="A34" s="532"/>
      <c r="B34" s="150" t="s">
        <v>341</v>
      </c>
      <c r="C34" s="153"/>
      <c r="D34" s="153"/>
      <c r="E34" s="525" t="s">
        <v>340</v>
      </c>
      <c r="F34" s="525"/>
      <c r="G34" s="525"/>
      <c r="H34" s="525"/>
      <c r="I34" s="525"/>
      <c r="J34" s="525"/>
      <c r="K34" s="525"/>
      <c r="L34" s="525"/>
      <c r="M34" s="525"/>
      <c r="N34" s="525"/>
      <c r="O34" s="525"/>
      <c r="P34" s="526"/>
    </row>
    <row r="35" spans="1:16" ht="15" thickBot="1" x14ac:dyDescent="0.35">
      <c r="A35" s="532"/>
      <c r="B35" s="518" t="s">
        <v>104</v>
      </c>
      <c r="C35" s="518"/>
      <c r="D35" s="518"/>
      <c r="E35" s="525" t="s">
        <v>340</v>
      </c>
      <c r="F35" s="525"/>
      <c r="G35" s="525"/>
      <c r="H35" s="525"/>
      <c r="I35" s="525"/>
      <c r="J35" s="525"/>
      <c r="K35" s="525"/>
      <c r="L35" s="525"/>
      <c r="M35" s="525"/>
      <c r="N35" s="525"/>
      <c r="O35" s="525"/>
      <c r="P35" s="526"/>
    </row>
    <row r="36" spans="1:16" x14ac:dyDescent="0.3">
      <c r="A36" s="532"/>
      <c r="B36" s="534" t="s">
        <v>342</v>
      </c>
      <c r="C36" s="534"/>
      <c r="D36" s="534"/>
      <c r="E36" s="525" t="s">
        <v>343</v>
      </c>
      <c r="F36" s="525"/>
      <c r="G36" s="525"/>
      <c r="H36" s="525"/>
      <c r="I36" s="525"/>
      <c r="J36" s="525"/>
      <c r="K36" s="525"/>
      <c r="L36" s="525"/>
      <c r="M36" s="525"/>
      <c r="N36" s="525"/>
      <c r="O36" s="525"/>
      <c r="P36" s="526"/>
    </row>
    <row r="37" spans="1:16" x14ac:dyDescent="0.3">
      <c r="A37" s="532"/>
      <c r="B37" s="534" t="s">
        <v>267</v>
      </c>
      <c r="C37" s="534"/>
      <c r="D37" s="534"/>
      <c r="E37" s="525" t="s">
        <v>344</v>
      </c>
      <c r="F37" s="525"/>
      <c r="G37" s="525"/>
      <c r="H37" s="525"/>
      <c r="I37" s="525"/>
      <c r="J37" s="525"/>
      <c r="K37" s="525"/>
      <c r="L37" s="525"/>
      <c r="M37" s="525"/>
      <c r="N37" s="525"/>
      <c r="O37" s="525"/>
      <c r="P37" s="526"/>
    </row>
    <row r="38" spans="1:16" x14ac:dyDescent="0.3">
      <c r="A38" s="532"/>
      <c r="B38" s="534" t="s">
        <v>345</v>
      </c>
      <c r="C38" s="534"/>
      <c r="D38" s="534"/>
      <c r="E38" s="525" t="s">
        <v>346</v>
      </c>
      <c r="F38" s="525"/>
      <c r="G38" s="525"/>
      <c r="H38" s="525"/>
      <c r="I38" s="525"/>
      <c r="J38" s="525"/>
      <c r="K38" s="525"/>
      <c r="L38" s="525"/>
      <c r="M38" s="525"/>
      <c r="N38" s="525"/>
      <c r="O38" s="525"/>
      <c r="P38" s="526"/>
    </row>
    <row r="39" spans="1:16" ht="15" thickBot="1" x14ac:dyDescent="0.35">
      <c r="A39" s="151"/>
      <c r="B39" s="518" t="s">
        <v>156</v>
      </c>
      <c r="C39" s="518"/>
      <c r="D39" s="518"/>
      <c r="E39" s="519" t="s">
        <v>347</v>
      </c>
      <c r="F39" s="519"/>
      <c r="G39" s="519"/>
      <c r="H39" s="519"/>
      <c r="I39" s="519"/>
      <c r="J39" s="519"/>
      <c r="K39" s="519"/>
      <c r="L39" s="519"/>
      <c r="M39" s="519"/>
      <c r="N39" s="519"/>
      <c r="O39" s="519"/>
      <c r="P39" s="520"/>
    </row>
    <row r="40" spans="1:16" x14ac:dyDescent="0.3">
      <c r="A40" s="130" t="s">
        <v>348</v>
      </c>
      <c r="B40" s="529" t="s">
        <v>349</v>
      </c>
      <c r="C40" s="529"/>
      <c r="D40" s="529"/>
      <c r="E40" s="530" t="s">
        <v>350</v>
      </c>
      <c r="F40" s="530"/>
      <c r="G40" s="530"/>
      <c r="H40" s="530"/>
      <c r="I40" s="530"/>
      <c r="J40" s="530"/>
      <c r="K40" s="530"/>
      <c r="L40" s="530"/>
      <c r="M40" s="530"/>
      <c r="N40" s="530"/>
      <c r="O40" s="530"/>
      <c r="P40" s="531"/>
    </row>
    <row r="41" spans="1:16" x14ac:dyDescent="0.3">
      <c r="A41" s="532"/>
      <c r="B41" s="534" t="s">
        <v>65</v>
      </c>
      <c r="C41" s="534"/>
      <c r="D41" s="534"/>
      <c r="E41" s="525" t="s">
        <v>351</v>
      </c>
      <c r="F41" s="525"/>
      <c r="G41" s="525"/>
      <c r="H41" s="525"/>
      <c r="I41" s="525"/>
      <c r="J41" s="525"/>
      <c r="K41" s="525"/>
      <c r="L41" s="525"/>
      <c r="M41" s="525"/>
      <c r="N41" s="525"/>
      <c r="O41" s="525"/>
      <c r="P41" s="526"/>
    </row>
    <row r="42" spans="1:16" x14ac:dyDescent="0.3">
      <c r="A42" s="532"/>
      <c r="B42" s="534" t="s">
        <v>160</v>
      </c>
      <c r="C42" s="534"/>
      <c r="D42" s="534"/>
      <c r="E42" s="525" t="s">
        <v>352</v>
      </c>
      <c r="F42" s="525"/>
      <c r="G42" s="525"/>
      <c r="H42" s="525"/>
      <c r="I42" s="525"/>
      <c r="J42" s="525"/>
      <c r="K42" s="525"/>
      <c r="L42" s="525"/>
      <c r="M42" s="525"/>
      <c r="N42" s="525"/>
      <c r="O42" s="525"/>
      <c r="P42" s="526"/>
    </row>
    <row r="43" spans="1:16" x14ac:dyDescent="0.3">
      <c r="A43" s="532"/>
      <c r="B43" s="534" t="s">
        <v>161</v>
      </c>
      <c r="C43" s="534"/>
      <c r="D43" s="534"/>
      <c r="E43" s="525" t="s">
        <v>353</v>
      </c>
      <c r="F43" s="525"/>
      <c r="G43" s="525"/>
      <c r="H43" s="525"/>
      <c r="I43" s="525"/>
      <c r="J43" s="525"/>
      <c r="K43" s="525"/>
      <c r="L43" s="525"/>
      <c r="M43" s="525"/>
      <c r="N43" s="525"/>
      <c r="O43" s="525"/>
      <c r="P43" s="526"/>
    </row>
    <row r="44" spans="1:16" x14ac:dyDescent="0.3">
      <c r="A44" s="532"/>
      <c r="B44" s="521" t="s">
        <v>262</v>
      </c>
      <c r="C44" s="521"/>
      <c r="D44" s="521"/>
      <c r="E44" s="525" t="s">
        <v>354</v>
      </c>
      <c r="F44" s="525"/>
      <c r="G44" s="525"/>
      <c r="H44" s="525"/>
      <c r="I44" s="525"/>
      <c r="J44" s="525"/>
      <c r="K44" s="525"/>
      <c r="L44" s="525"/>
      <c r="M44" s="525"/>
      <c r="N44" s="525"/>
      <c r="O44" s="525"/>
      <c r="P44" s="526"/>
    </row>
    <row r="45" spans="1:16" x14ac:dyDescent="0.3">
      <c r="A45" s="532"/>
      <c r="B45" s="521" t="s">
        <v>264</v>
      </c>
      <c r="C45" s="521"/>
      <c r="D45" s="521"/>
      <c r="E45" s="525" t="s">
        <v>355</v>
      </c>
      <c r="F45" s="525"/>
      <c r="G45" s="525"/>
      <c r="H45" s="525"/>
      <c r="I45" s="525"/>
      <c r="J45" s="525"/>
      <c r="K45" s="525"/>
      <c r="L45" s="525"/>
      <c r="M45" s="525"/>
      <c r="N45" s="525"/>
      <c r="O45" s="525"/>
      <c r="P45" s="526"/>
    </row>
    <row r="46" spans="1:16" x14ac:dyDescent="0.3">
      <c r="A46" s="532"/>
      <c r="B46" s="521" t="s">
        <v>356</v>
      </c>
      <c r="C46" s="521"/>
      <c r="D46" s="521"/>
      <c r="E46" s="525" t="s">
        <v>357</v>
      </c>
      <c r="F46" s="525"/>
      <c r="G46" s="525"/>
      <c r="H46" s="525"/>
      <c r="I46" s="525"/>
      <c r="J46" s="525"/>
      <c r="K46" s="525"/>
      <c r="L46" s="525"/>
      <c r="M46" s="525"/>
      <c r="N46" s="525"/>
      <c r="O46" s="525"/>
      <c r="P46" s="526"/>
    </row>
    <row r="47" spans="1:16" x14ac:dyDescent="0.3">
      <c r="A47" s="532"/>
      <c r="B47" s="521" t="s">
        <v>227</v>
      </c>
      <c r="C47" s="521"/>
      <c r="D47" s="521"/>
      <c r="E47" s="525" t="s">
        <v>358</v>
      </c>
      <c r="F47" s="525"/>
      <c r="G47" s="525"/>
      <c r="H47" s="525"/>
      <c r="I47" s="525"/>
      <c r="J47" s="525"/>
      <c r="K47" s="525"/>
      <c r="L47" s="525"/>
      <c r="M47" s="525"/>
      <c r="N47" s="525"/>
      <c r="O47" s="525"/>
      <c r="P47" s="526"/>
    </row>
    <row r="48" spans="1:16" x14ac:dyDescent="0.3">
      <c r="A48" s="532"/>
      <c r="B48" s="534" t="s">
        <v>162</v>
      </c>
      <c r="C48" s="534"/>
      <c r="D48" s="534"/>
      <c r="E48" s="525" t="s">
        <v>353</v>
      </c>
      <c r="F48" s="525"/>
      <c r="G48" s="525"/>
      <c r="H48" s="525"/>
      <c r="I48" s="525"/>
      <c r="J48" s="525"/>
      <c r="K48" s="525"/>
      <c r="L48" s="525"/>
      <c r="M48" s="525"/>
      <c r="N48" s="525"/>
      <c r="O48" s="525"/>
      <c r="P48" s="526"/>
    </row>
    <row r="49" spans="1:16" x14ac:dyDescent="0.3">
      <c r="A49" s="532"/>
      <c r="B49" s="521" t="s">
        <v>268</v>
      </c>
      <c r="C49" s="521"/>
      <c r="D49" s="521"/>
      <c r="E49" s="525" t="s">
        <v>359</v>
      </c>
      <c r="F49" s="525"/>
      <c r="G49" s="525"/>
      <c r="H49" s="525"/>
      <c r="I49" s="525"/>
      <c r="J49" s="525"/>
      <c r="K49" s="525"/>
      <c r="L49" s="525"/>
      <c r="M49" s="525"/>
      <c r="N49" s="525"/>
      <c r="O49" s="525"/>
      <c r="P49" s="526"/>
    </row>
    <row r="50" spans="1:16" x14ac:dyDescent="0.3">
      <c r="A50" s="532"/>
      <c r="B50" s="521" t="s">
        <v>222</v>
      </c>
      <c r="C50" s="521"/>
      <c r="D50" s="521"/>
      <c r="E50" s="527" t="s">
        <v>360</v>
      </c>
      <c r="F50" s="525"/>
      <c r="G50" s="525"/>
      <c r="H50" s="525"/>
      <c r="I50" s="525"/>
      <c r="J50" s="525"/>
      <c r="K50" s="525"/>
      <c r="L50" s="525"/>
      <c r="M50" s="525"/>
      <c r="N50" s="525"/>
      <c r="O50" s="525"/>
      <c r="P50" s="526"/>
    </row>
    <row r="51" spans="1:16" x14ac:dyDescent="0.3">
      <c r="A51" s="532"/>
      <c r="B51" s="521" t="s">
        <v>275</v>
      </c>
      <c r="C51" s="521"/>
      <c r="D51" s="521"/>
      <c r="E51" s="525" t="s">
        <v>361</v>
      </c>
      <c r="F51" s="525"/>
      <c r="G51" s="525"/>
      <c r="H51" s="525"/>
      <c r="I51" s="525"/>
      <c r="J51" s="525"/>
      <c r="K51" s="525"/>
      <c r="L51" s="525"/>
      <c r="M51" s="525"/>
      <c r="N51" s="525"/>
      <c r="O51" s="525"/>
      <c r="P51" s="526"/>
    </row>
    <row r="52" spans="1:16" x14ac:dyDescent="0.3">
      <c r="A52" s="532"/>
      <c r="B52" s="521" t="s">
        <v>362</v>
      </c>
      <c r="C52" s="521"/>
      <c r="D52" s="521"/>
      <c r="E52" s="525" t="s">
        <v>363</v>
      </c>
      <c r="F52" s="525"/>
      <c r="G52" s="525"/>
      <c r="H52" s="525"/>
      <c r="I52" s="525"/>
      <c r="J52" s="525"/>
      <c r="K52" s="525"/>
      <c r="L52" s="525"/>
      <c r="M52" s="525"/>
      <c r="N52" s="525"/>
      <c r="O52" s="525"/>
      <c r="P52" s="526"/>
    </row>
    <row r="53" spans="1:16" x14ac:dyDescent="0.3">
      <c r="A53" s="532"/>
      <c r="B53" s="521" t="s">
        <v>274</v>
      </c>
      <c r="C53" s="521"/>
      <c r="D53" s="521"/>
      <c r="E53" s="525" t="s">
        <v>364</v>
      </c>
      <c r="F53" s="525"/>
      <c r="G53" s="525"/>
      <c r="H53" s="525"/>
      <c r="I53" s="525"/>
      <c r="J53" s="525"/>
      <c r="K53" s="525"/>
      <c r="L53" s="525"/>
      <c r="M53" s="525"/>
      <c r="N53" s="525"/>
      <c r="O53" s="525"/>
      <c r="P53" s="526"/>
    </row>
    <row r="54" spans="1:16" x14ac:dyDescent="0.3">
      <c r="A54" s="532"/>
      <c r="B54" s="521" t="s">
        <v>279</v>
      </c>
      <c r="C54" s="521"/>
      <c r="D54" s="521"/>
      <c r="E54" s="525" t="s">
        <v>365</v>
      </c>
      <c r="F54" s="525"/>
      <c r="G54" s="525"/>
      <c r="H54" s="525"/>
      <c r="I54" s="525"/>
      <c r="J54" s="525"/>
      <c r="K54" s="525"/>
      <c r="L54" s="525"/>
      <c r="M54" s="525"/>
      <c r="N54" s="525"/>
      <c r="O54" s="525"/>
      <c r="P54" s="526"/>
    </row>
    <row r="55" spans="1:16" x14ac:dyDescent="0.3">
      <c r="A55" s="532"/>
      <c r="B55" s="521" t="s">
        <v>285</v>
      </c>
      <c r="C55" s="521"/>
      <c r="D55" s="521"/>
      <c r="E55" s="525" t="s">
        <v>366</v>
      </c>
      <c r="F55" s="525"/>
      <c r="G55" s="525"/>
      <c r="H55" s="525"/>
      <c r="I55" s="525"/>
      <c r="J55" s="525"/>
      <c r="K55" s="525"/>
      <c r="L55" s="525"/>
      <c r="M55" s="525"/>
      <c r="N55" s="525"/>
      <c r="O55" s="525"/>
      <c r="P55" s="526"/>
    </row>
    <row r="56" spans="1:16" x14ac:dyDescent="0.3">
      <c r="A56" s="532"/>
      <c r="B56" s="521" t="s">
        <v>220</v>
      </c>
      <c r="C56" s="521"/>
      <c r="D56" s="521"/>
      <c r="E56" s="527" t="s">
        <v>367</v>
      </c>
      <c r="F56" s="527"/>
      <c r="G56" s="527"/>
      <c r="H56" s="527"/>
      <c r="I56" s="527"/>
      <c r="J56" s="527"/>
      <c r="K56" s="527"/>
      <c r="L56" s="527"/>
      <c r="M56" s="527"/>
      <c r="N56" s="527"/>
      <c r="O56" s="527"/>
      <c r="P56" s="528"/>
    </row>
    <row r="57" spans="1:16" x14ac:dyDescent="0.3">
      <c r="A57" s="532"/>
      <c r="B57" s="521" t="s">
        <v>368</v>
      </c>
      <c r="C57" s="521"/>
      <c r="D57" s="521"/>
      <c r="E57" s="522" t="s">
        <v>369</v>
      </c>
      <c r="F57" s="523"/>
      <c r="G57" s="523"/>
      <c r="H57" s="523"/>
      <c r="I57" s="523"/>
      <c r="J57" s="523"/>
      <c r="K57" s="523"/>
      <c r="L57" s="523"/>
      <c r="M57" s="523"/>
      <c r="N57" s="523"/>
      <c r="O57" s="523"/>
      <c r="P57" s="524"/>
    </row>
    <row r="58" spans="1:16" x14ac:dyDescent="0.3">
      <c r="A58" s="532"/>
      <c r="B58" s="521" t="s">
        <v>289</v>
      </c>
      <c r="C58" s="521"/>
      <c r="D58" s="521"/>
      <c r="E58" s="522" t="s">
        <v>370</v>
      </c>
      <c r="F58" s="523"/>
      <c r="G58" s="523"/>
      <c r="H58" s="523"/>
      <c r="I58" s="523"/>
      <c r="J58" s="523"/>
      <c r="K58" s="523"/>
      <c r="L58" s="523"/>
      <c r="M58" s="523"/>
      <c r="N58" s="523"/>
      <c r="O58" s="523"/>
      <c r="P58" s="524"/>
    </row>
    <row r="59" spans="1:16" x14ac:dyDescent="0.3">
      <c r="A59" s="532"/>
      <c r="B59" s="521" t="s">
        <v>294</v>
      </c>
      <c r="C59" s="521"/>
      <c r="D59" s="521"/>
      <c r="E59" s="522" t="s">
        <v>371</v>
      </c>
      <c r="F59" s="523"/>
      <c r="G59" s="523"/>
      <c r="H59" s="523"/>
      <c r="I59" s="523"/>
      <c r="J59" s="523"/>
      <c r="K59" s="523"/>
      <c r="L59" s="523"/>
      <c r="M59" s="523"/>
      <c r="N59" s="523"/>
      <c r="O59" s="523"/>
      <c r="P59" s="524"/>
    </row>
    <row r="60" spans="1:16" x14ac:dyDescent="0.3">
      <c r="A60" s="532"/>
      <c r="B60" s="521" t="s">
        <v>221</v>
      </c>
      <c r="C60" s="521"/>
      <c r="D60" s="521"/>
      <c r="E60" s="522" t="s">
        <v>372</v>
      </c>
      <c r="F60" s="523"/>
      <c r="G60" s="523"/>
      <c r="H60" s="523"/>
      <c r="I60" s="523"/>
      <c r="J60" s="523"/>
      <c r="K60" s="523"/>
      <c r="L60" s="523"/>
      <c r="M60" s="523"/>
      <c r="N60" s="523"/>
      <c r="O60" s="523"/>
      <c r="P60" s="524"/>
    </row>
    <row r="61" spans="1:16" x14ac:dyDescent="0.3">
      <c r="A61" s="532"/>
      <c r="B61" s="521" t="s">
        <v>297</v>
      </c>
      <c r="C61" s="521"/>
      <c r="D61" s="521"/>
      <c r="E61" s="522" t="s">
        <v>373</v>
      </c>
      <c r="F61" s="523"/>
      <c r="G61" s="523"/>
      <c r="H61" s="523"/>
      <c r="I61" s="523"/>
      <c r="J61" s="523"/>
      <c r="K61" s="523"/>
      <c r="L61" s="523"/>
      <c r="M61" s="523"/>
      <c r="N61" s="523"/>
      <c r="O61" s="523"/>
      <c r="P61" s="524"/>
    </row>
    <row r="62" spans="1:16" x14ac:dyDescent="0.3">
      <c r="A62" s="532"/>
      <c r="B62" s="521" t="s">
        <v>227</v>
      </c>
      <c r="C62" s="521"/>
      <c r="D62" s="521"/>
      <c r="E62" s="522" t="s">
        <v>374</v>
      </c>
      <c r="F62" s="523"/>
      <c r="G62" s="523"/>
      <c r="H62" s="523"/>
      <c r="I62" s="523"/>
      <c r="J62" s="523"/>
      <c r="K62" s="523"/>
      <c r="L62" s="523"/>
      <c r="M62" s="523"/>
      <c r="N62" s="523"/>
      <c r="O62" s="523"/>
      <c r="P62" s="524"/>
    </row>
    <row r="63" spans="1:16" x14ac:dyDescent="0.3">
      <c r="A63" s="532"/>
      <c r="B63" s="521" t="s">
        <v>375</v>
      </c>
      <c r="C63" s="521"/>
      <c r="D63" s="521"/>
      <c r="E63" s="522" t="s">
        <v>376</v>
      </c>
      <c r="F63" s="523"/>
      <c r="G63" s="523"/>
      <c r="H63" s="523"/>
      <c r="I63" s="523"/>
      <c r="J63" s="523"/>
      <c r="K63" s="523"/>
      <c r="L63" s="523"/>
      <c r="M63" s="523"/>
      <c r="N63" s="523"/>
      <c r="O63" s="523"/>
      <c r="P63" s="524"/>
    </row>
    <row r="64" spans="1:16" x14ac:dyDescent="0.3">
      <c r="A64" s="532"/>
      <c r="B64" s="521" t="s">
        <v>226</v>
      </c>
      <c r="C64" s="521"/>
      <c r="D64" s="521"/>
      <c r="E64" s="522" t="s">
        <v>377</v>
      </c>
      <c r="F64" s="523"/>
      <c r="G64" s="523"/>
      <c r="H64" s="523"/>
      <c r="I64" s="523"/>
      <c r="J64" s="523"/>
      <c r="K64" s="523"/>
      <c r="L64" s="523"/>
      <c r="M64" s="523"/>
      <c r="N64" s="523"/>
      <c r="O64" s="523"/>
      <c r="P64" s="524"/>
    </row>
    <row r="65" spans="1:16" x14ac:dyDescent="0.3">
      <c r="A65" s="532"/>
      <c r="B65" s="521" t="s">
        <v>225</v>
      </c>
      <c r="C65" s="521"/>
      <c r="D65" s="521"/>
      <c r="E65" s="522" t="s">
        <v>378</v>
      </c>
      <c r="F65" s="523"/>
      <c r="G65" s="523"/>
      <c r="H65" s="523"/>
      <c r="I65" s="523"/>
      <c r="J65" s="523"/>
      <c r="K65" s="523"/>
      <c r="L65" s="523"/>
      <c r="M65" s="523"/>
      <c r="N65" s="523"/>
      <c r="O65" s="523"/>
      <c r="P65" s="524"/>
    </row>
    <row r="66" spans="1:16" x14ac:dyDescent="0.3">
      <c r="A66" s="532"/>
      <c r="B66" s="521" t="s">
        <v>303</v>
      </c>
      <c r="C66" s="521"/>
      <c r="D66" s="521"/>
      <c r="E66" s="522" t="s">
        <v>379</v>
      </c>
      <c r="F66" s="523"/>
      <c r="G66" s="523"/>
      <c r="H66" s="523"/>
      <c r="I66" s="523"/>
      <c r="J66" s="523"/>
      <c r="K66" s="523"/>
      <c r="L66" s="523"/>
      <c r="M66" s="523"/>
      <c r="N66" s="523"/>
      <c r="O66" s="523"/>
      <c r="P66" s="524"/>
    </row>
    <row r="67" spans="1:16" x14ac:dyDescent="0.3">
      <c r="A67" s="532"/>
      <c r="B67" s="521" t="s">
        <v>302</v>
      </c>
      <c r="C67" s="521"/>
      <c r="D67" s="521"/>
      <c r="E67" s="522" t="s">
        <v>380</v>
      </c>
      <c r="F67" s="523"/>
      <c r="G67" s="523"/>
      <c r="H67" s="523"/>
      <c r="I67" s="523"/>
      <c r="J67" s="523"/>
      <c r="K67" s="523"/>
      <c r="L67" s="523"/>
      <c r="M67" s="523"/>
      <c r="N67" s="523"/>
      <c r="O67" s="523"/>
      <c r="P67" s="524"/>
    </row>
    <row r="68" spans="1:16" x14ac:dyDescent="0.3">
      <c r="A68" s="532"/>
      <c r="B68" s="521" t="s">
        <v>223</v>
      </c>
      <c r="C68" s="521"/>
      <c r="D68" s="521"/>
      <c r="E68" s="522" t="s">
        <v>381</v>
      </c>
      <c r="F68" s="523"/>
      <c r="G68" s="523"/>
      <c r="H68" s="523"/>
      <c r="I68" s="523"/>
      <c r="J68" s="523"/>
      <c r="K68" s="523"/>
      <c r="L68" s="523"/>
      <c r="M68" s="523"/>
      <c r="N68" s="523"/>
      <c r="O68" s="523"/>
      <c r="P68" s="524"/>
    </row>
    <row r="69" spans="1:16" ht="15" thickBot="1" x14ac:dyDescent="0.35">
      <c r="A69" s="533"/>
      <c r="B69" s="518" t="s">
        <v>263</v>
      </c>
      <c r="C69" s="518"/>
      <c r="D69" s="518"/>
      <c r="E69" s="519" t="s">
        <v>382</v>
      </c>
      <c r="F69" s="519"/>
      <c r="G69" s="519"/>
      <c r="H69" s="519"/>
      <c r="I69" s="519"/>
      <c r="J69" s="519"/>
      <c r="K69" s="519"/>
      <c r="L69" s="519"/>
      <c r="M69" s="519"/>
      <c r="N69" s="519"/>
      <c r="O69" s="519"/>
      <c r="P69" s="520"/>
    </row>
    <row r="71" spans="1:16" x14ac:dyDescent="0.3">
      <c r="A71" s="174"/>
      <c r="B71" s="174" t="s">
        <v>172</v>
      </c>
      <c r="C71" s="174" t="s">
        <v>174</v>
      </c>
      <c r="D71" s="174" t="s">
        <v>383</v>
      </c>
    </row>
    <row r="72" spans="1:16" x14ac:dyDescent="0.3">
      <c r="A72" s="172" t="s">
        <v>207</v>
      </c>
      <c r="B72" s="172"/>
      <c r="C72" s="174"/>
      <c r="D72" s="174"/>
    </row>
    <row r="73" spans="1:16" ht="15" customHeight="1" x14ac:dyDescent="0.3">
      <c r="A73" s="173" t="s">
        <v>208</v>
      </c>
      <c r="B73" s="173"/>
      <c r="C73" s="174"/>
      <c r="D73" s="174"/>
    </row>
    <row r="74" spans="1:16" ht="15" customHeight="1" x14ac:dyDescent="0.3">
      <c r="A74" s="173" t="s">
        <v>209</v>
      </c>
      <c r="B74" s="173"/>
      <c r="C74" s="174"/>
      <c r="D74" s="174"/>
    </row>
    <row r="75" spans="1:16" x14ac:dyDescent="0.3">
      <c r="A75" s="172" t="s">
        <v>210</v>
      </c>
      <c r="B75" s="172"/>
      <c r="C75" s="174"/>
      <c r="D75" s="174"/>
    </row>
    <row r="76" spans="1:16" ht="15" customHeight="1" x14ac:dyDescent="0.3">
      <c r="A76" s="173" t="s">
        <v>211</v>
      </c>
      <c r="B76" s="173"/>
      <c r="C76" s="174"/>
      <c r="D76" s="174"/>
    </row>
    <row r="77" spans="1:16" ht="15" customHeight="1" x14ac:dyDescent="0.3">
      <c r="A77" s="173" t="s">
        <v>173</v>
      </c>
      <c r="B77" s="173"/>
      <c r="C77" s="174"/>
      <c r="D77" s="174"/>
    </row>
    <row r="78" spans="1:16" ht="15" customHeight="1" x14ac:dyDescent="0.3">
      <c r="A78" s="173" t="s">
        <v>212</v>
      </c>
      <c r="B78" s="173"/>
      <c r="C78" s="174"/>
      <c r="D78" s="174"/>
    </row>
    <row r="79" spans="1:16" ht="15" customHeight="1" x14ac:dyDescent="0.3">
      <c r="A79" s="173" t="s">
        <v>213</v>
      </c>
      <c r="B79" s="173"/>
      <c r="C79" s="174"/>
      <c r="D79" s="174"/>
    </row>
    <row r="80" spans="1:16" ht="15" customHeight="1" x14ac:dyDescent="0.3">
      <c r="A80" s="173" t="s">
        <v>214</v>
      </c>
      <c r="B80" s="173"/>
      <c r="C80" s="174"/>
      <c r="D80" s="174"/>
    </row>
    <row r="81" spans="1:4" x14ac:dyDescent="0.3">
      <c r="A81" s="173" t="s">
        <v>215</v>
      </c>
      <c r="B81" s="173"/>
      <c r="C81" s="174"/>
      <c r="D81" s="174"/>
    </row>
    <row r="82" spans="1:4" x14ac:dyDescent="0.3">
      <c r="A82" s="173" t="s">
        <v>216</v>
      </c>
      <c r="B82" s="173"/>
      <c r="C82" s="174"/>
      <c r="D82" s="174"/>
    </row>
    <row r="83" spans="1:4" x14ac:dyDescent="0.3">
      <c r="A83" s="173" t="s">
        <v>217</v>
      </c>
      <c r="B83" s="173"/>
      <c r="C83" s="174"/>
      <c r="D83" s="174"/>
    </row>
    <row r="84" spans="1:4" ht="15" customHeight="1" x14ac:dyDescent="0.3">
      <c r="A84" s="173" t="s">
        <v>218</v>
      </c>
      <c r="B84" s="173"/>
      <c r="C84" s="174"/>
      <c r="D84" s="174"/>
    </row>
    <row r="85" spans="1:4" ht="15" customHeight="1" x14ac:dyDescent="0.3">
      <c r="A85" s="173" t="s">
        <v>219</v>
      </c>
      <c r="B85" s="173"/>
      <c r="C85" s="174"/>
      <c r="D85" s="174"/>
    </row>
    <row r="86" spans="1:4" ht="15" customHeight="1" x14ac:dyDescent="0.3">
      <c r="A86" s="173" t="s">
        <v>220</v>
      </c>
      <c r="B86" s="173"/>
      <c r="C86" s="174"/>
      <c r="D86" s="174"/>
    </row>
    <row r="87" spans="1:4" ht="15" customHeight="1" x14ac:dyDescent="0.3">
      <c r="A87" s="173" t="s">
        <v>221</v>
      </c>
      <c r="B87" s="173"/>
      <c r="C87" s="174"/>
      <c r="D87" s="174"/>
    </row>
    <row r="88" spans="1:4" ht="15" customHeight="1" x14ac:dyDescent="0.3">
      <c r="A88" s="173" t="s">
        <v>222</v>
      </c>
      <c r="B88" s="173"/>
      <c r="C88" s="174"/>
      <c r="D88" s="174"/>
    </row>
    <row r="89" spans="1:4" ht="15" customHeight="1" x14ac:dyDescent="0.3">
      <c r="A89" s="173" t="s">
        <v>223</v>
      </c>
      <c r="B89" s="173"/>
      <c r="C89" s="174"/>
      <c r="D89" s="174"/>
    </row>
    <row r="90" spans="1:4" x14ac:dyDescent="0.3">
      <c r="A90" s="173" t="s">
        <v>224</v>
      </c>
      <c r="B90" s="173"/>
      <c r="C90" s="174"/>
      <c r="D90" s="174"/>
    </row>
    <row r="91" spans="1:4" ht="15" customHeight="1" x14ac:dyDescent="0.3">
      <c r="A91" s="173" t="s">
        <v>225</v>
      </c>
      <c r="B91" s="173"/>
      <c r="C91" s="174"/>
      <c r="D91" s="174"/>
    </row>
    <row r="92" spans="1:4" ht="15" customHeight="1" x14ac:dyDescent="0.3">
      <c r="A92" s="173" t="s">
        <v>226</v>
      </c>
      <c r="B92" s="173"/>
      <c r="C92" s="174"/>
      <c r="D92" s="174"/>
    </row>
  </sheetData>
  <sheetProtection algorithmName="SHA-512" hashValue="2zPLj/Y+HhKAAed3LnH/BxmxIcCXe8sXs5/aygw7Sz30ZnS2T8SuFYxVvmqrycayv9hjt6LCiF/KeCtKOZxjXw==" saltValue="9u/QXX7fLRjW0JkNFAHXhg==" spinCount="100000" sheet="1" objects="1" scenarios="1"/>
  <mergeCells count="127">
    <mergeCell ref="B4:P4"/>
    <mergeCell ref="B5:P5"/>
    <mergeCell ref="B6:P6"/>
    <mergeCell ref="A7:P7"/>
    <mergeCell ref="B9:D9"/>
    <mergeCell ref="E9:P9"/>
    <mergeCell ref="A10:A38"/>
    <mergeCell ref="B10:D10"/>
    <mergeCell ref="E10:P10"/>
    <mergeCell ref="B11:D11"/>
    <mergeCell ref="E11:P11"/>
    <mergeCell ref="B12:D12"/>
    <mergeCell ref="E12:P12"/>
    <mergeCell ref="B13:D13"/>
    <mergeCell ref="E13:P13"/>
    <mergeCell ref="B14:D14"/>
    <mergeCell ref="B18:D18"/>
    <mergeCell ref="E18:P18"/>
    <mergeCell ref="B19:D19"/>
    <mergeCell ref="E19:P19"/>
    <mergeCell ref="B20:D20"/>
    <mergeCell ref="E20:P20"/>
    <mergeCell ref="E14:P14"/>
    <mergeCell ref="B15:D15"/>
    <mergeCell ref="E15:P15"/>
    <mergeCell ref="B16:D16"/>
    <mergeCell ref="E16:P16"/>
    <mergeCell ref="B17:D17"/>
    <mergeCell ref="E17:P17"/>
    <mergeCell ref="B24:D24"/>
    <mergeCell ref="E24:P24"/>
    <mergeCell ref="B25:D25"/>
    <mergeCell ref="E25:P25"/>
    <mergeCell ref="B26:D26"/>
    <mergeCell ref="E26:P26"/>
    <mergeCell ref="B21:D21"/>
    <mergeCell ref="E21:P21"/>
    <mergeCell ref="B22:D22"/>
    <mergeCell ref="E22:P22"/>
    <mergeCell ref="B23:D23"/>
    <mergeCell ref="E23:P23"/>
    <mergeCell ref="B30:D30"/>
    <mergeCell ref="E30:P30"/>
    <mergeCell ref="B31:D31"/>
    <mergeCell ref="E31:P31"/>
    <mergeCell ref="B32:D32"/>
    <mergeCell ref="E32:P32"/>
    <mergeCell ref="B27:D27"/>
    <mergeCell ref="E27:P27"/>
    <mergeCell ref="B28:D28"/>
    <mergeCell ref="E28:P28"/>
    <mergeCell ref="B29:D29"/>
    <mergeCell ref="E29:P29"/>
    <mergeCell ref="B37:D37"/>
    <mergeCell ref="E37:P37"/>
    <mergeCell ref="B38:D38"/>
    <mergeCell ref="E38:P38"/>
    <mergeCell ref="B39:D39"/>
    <mergeCell ref="E39:P39"/>
    <mergeCell ref="B33:D33"/>
    <mergeCell ref="E33:P33"/>
    <mergeCell ref="E34:P34"/>
    <mergeCell ref="B35:D35"/>
    <mergeCell ref="E35:P35"/>
    <mergeCell ref="B36:D36"/>
    <mergeCell ref="E36:P36"/>
    <mergeCell ref="B40:D40"/>
    <mergeCell ref="E40:P40"/>
    <mergeCell ref="A41:A69"/>
    <mergeCell ref="B41:D41"/>
    <mergeCell ref="E41:P41"/>
    <mergeCell ref="B42:D42"/>
    <mergeCell ref="E42:P42"/>
    <mergeCell ref="B43:D43"/>
    <mergeCell ref="E43:P43"/>
    <mergeCell ref="B44:D44"/>
    <mergeCell ref="B48:D48"/>
    <mergeCell ref="E48:P48"/>
    <mergeCell ref="B49:D49"/>
    <mergeCell ref="E49:P49"/>
    <mergeCell ref="B50:D50"/>
    <mergeCell ref="E50:P50"/>
    <mergeCell ref="E44:P44"/>
    <mergeCell ref="B45:D45"/>
    <mergeCell ref="E45:P45"/>
    <mergeCell ref="B46:D46"/>
    <mergeCell ref="E46:P46"/>
    <mergeCell ref="B47:D47"/>
    <mergeCell ref="E47:P47"/>
    <mergeCell ref="B54:D54"/>
    <mergeCell ref="E54:P54"/>
    <mergeCell ref="B55:D55"/>
    <mergeCell ref="E55:P55"/>
    <mergeCell ref="B56:D56"/>
    <mergeCell ref="E56:P56"/>
    <mergeCell ref="B51:D51"/>
    <mergeCell ref="E51:P51"/>
    <mergeCell ref="B52:D52"/>
    <mergeCell ref="E52:P52"/>
    <mergeCell ref="B53:D53"/>
    <mergeCell ref="E53:P53"/>
    <mergeCell ref="B60:D60"/>
    <mergeCell ref="E60:P60"/>
    <mergeCell ref="B61:D61"/>
    <mergeCell ref="E61:P61"/>
    <mergeCell ref="B62:D62"/>
    <mergeCell ref="E62:P62"/>
    <mergeCell ref="B57:D57"/>
    <mergeCell ref="E57:P57"/>
    <mergeCell ref="B58:D58"/>
    <mergeCell ref="E58:P58"/>
    <mergeCell ref="B59:D59"/>
    <mergeCell ref="E59:P59"/>
    <mergeCell ref="B69:D69"/>
    <mergeCell ref="E69:P69"/>
    <mergeCell ref="B66:D66"/>
    <mergeCell ref="E66:P66"/>
    <mergeCell ref="B67:D67"/>
    <mergeCell ref="E67:P67"/>
    <mergeCell ref="B68:D68"/>
    <mergeCell ref="E68:P68"/>
    <mergeCell ref="B63:D63"/>
    <mergeCell ref="E63:P63"/>
    <mergeCell ref="B64:D64"/>
    <mergeCell ref="E64:P64"/>
    <mergeCell ref="B65:D65"/>
    <mergeCell ref="E65:P6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LengthInSeconds xmlns="4948dcbb-4498-453a-bb2a-2f6e93dc52f8" xsi:nil="true"/>
    <_ip_UnifiedCompliancePolicyUIAction xmlns="http://schemas.microsoft.com/sharepoint/v3" xsi:nil="true"/>
    <Fechamodificacion xmlns="4948dcbb-4498-453a-bb2a-2f6e93dc52f8" xsi:nil="true"/>
    <lcf76f155ced4ddcb4097134ff3c332f xmlns="4948dcbb-4498-453a-bb2a-2f6e93dc52f8">
      <Terms xmlns="http://schemas.microsoft.com/office/infopath/2007/PartnerControls"/>
    </lcf76f155ced4ddcb4097134ff3c332f>
    <Empresa xmlns="4948dcbb-4498-453a-bb2a-2f6e93dc52f8">Periferia</Empresa>
    <_ip_UnifiedCompliancePolicyProperties xmlns="http://schemas.microsoft.com/sharepoint/v3" xsi:nil="true"/>
    <TaxCatchAll xmlns="42031908-afc3-4861-95d9-cc85d1091e34" xsi:nil="true"/>
    <Fecha xmlns="4948dcbb-4498-453a-bb2a-2f6e93dc52f8"/>
    <Tiempo xmlns="4948dcbb-4498-453a-bb2a-2f6e93dc52f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A13845BC0BE8D498EAB0B4A65887C77" ma:contentTypeVersion="24" ma:contentTypeDescription="Crear nuevo documento." ma:contentTypeScope="" ma:versionID="f6c26575f91797183cc8783848fbcfca">
  <xsd:schema xmlns:xsd="http://www.w3.org/2001/XMLSchema" xmlns:xs="http://www.w3.org/2001/XMLSchema" xmlns:p="http://schemas.microsoft.com/office/2006/metadata/properties" xmlns:ns1="http://schemas.microsoft.com/sharepoint/v3" xmlns:ns2="4948dcbb-4498-453a-bb2a-2f6e93dc52f8" xmlns:ns3="42031908-afc3-4861-95d9-cc85d1091e34" targetNamespace="http://schemas.microsoft.com/office/2006/metadata/properties" ma:root="true" ma:fieldsID="4668ede4042004c795b172cb75fb2c0e" ns1:_="" ns2:_="" ns3:_="">
    <xsd:import namespace="http://schemas.microsoft.com/sharepoint/v3"/>
    <xsd:import namespace="4948dcbb-4498-453a-bb2a-2f6e93dc52f8"/>
    <xsd:import namespace="42031908-afc3-4861-95d9-cc85d1091e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Empresa"/>
                <xsd:element ref="ns2:MediaServiceAutoKeyPoints" minOccurs="0"/>
                <xsd:element ref="ns2:MediaServiceKeyPoints" minOccurs="0"/>
                <xsd:element ref="ns2:MediaServiceSearchProperties" minOccurs="0"/>
                <xsd:element ref="ns2:MediaServiceObjectDetectorVersions" minOccurs="0"/>
                <xsd:element ref="ns2:Fecha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  <xsd:element ref="ns2:Tiempo" minOccurs="0"/>
                <xsd:element ref="ns2:Fechamodificac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7" nillable="true" ma:displayName="Propiedades de la Directiva de cumplimiento unificado" ma:hidden="true" ma:internalName="_ip_UnifiedCompliancePolicyProperties">
      <xsd:simpleType>
        <xsd:restriction base="dms:Note"/>
      </xsd:simpleType>
    </xsd:element>
    <xsd:element name="_ip_UnifiedCompliancePolicyUIAction" ma:index="28" nillable="true" ma:displayName="Acción de IU de la Directiva de cumplimiento unificado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48dcbb-4498-453a-bb2a-2f6e93dc52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f193352c-83ee-4464-bc63-33cfba68ac0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description="" ma:indexed="true" ma:internalName="MediaServiceLocation" ma:readOnly="true">
      <xsd:simpleType>
        <xsd:restriction base="dms:Text"/>
      </xsd:simpleType>
    </xsd:element>
    <xsd:element name="Empresa" ma:index="21" ma:displayName="Empresa" ma:description="Campo Empresa" ma:format="Dropdown" ma:internalName="Empresa">
      <xsd:simpleType>
        <xsd:restriction base="dms:Choice">
          <xsd:enumeration value="CBIT"/>
          <xsd:enumeration value="PERIFIERIA"/>
          <xsd:enumeration value="N/A"/>
        </xsd:restriction>
      </xsd:simpleType>
    </xsd:element>
    <xsd:element name="MediaServiceAutoKeyPoints" ma:index="2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Fecha" ma:index="26" ma:displayName="Fecha" ma:format="DateOnly" ma:internalName="Fecha">
      <xsd:simpleType>
        <xsd:restriction base="dms:DateTime"/>
      </xsd:simpleType>
    </xsd:element>
    <xsd:element name="MediaServiceBillingMetadata" ma:index="29" nillable="true" ma:displayName="MediaServiceBillingMetadata" ma:hidden="true" ma:internalName="MediaServiceBillingMetadata" ma:readOnly="true">
      <xsd:simpleType>
        <xsd:restriction base="dms:Note"/>
      </xsd:simpleType>
    </xsd:element>
    <xsd:element name="Tiempo" ma:index="30" nillable="true" ma:displayName="Tiempo" ma:format="DateOnly" ma:internalName="Tiempo">
      <xsd:simpleType>
        <xsd:restriction base="dms:DateTime"/>
      </xsd:simpleType>
    </xsd:element>
    <xsd:element name="Fechamodificacion" ma:index="31" nillable="true" ma:displayName="Fecha modificacion" ma:format="DateOnly" ma:internalName="Fechamodificacion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031908-afc3-4861-95d9-cc85d1091e3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899e694-193d-40b5-ac1b-090c0e75e6ed}" ma:internalName="TaxCatchAll" ma:showField="CatchAllData" ma:web="42031908-afc3-4861-95d9-cc85d1091e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2C7D37E-33E6-45F6-8EEE-8B939CDF44D4}">
  <ds:schemaRefs>
    <ds:schemaRef ds:uri="http://purl.org/dc/terms/"/>
    <ds:schemaRef ds:uri="http://schemas.openxmlformats.org/package/2006/metadata/core-properties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dcmitype/"/>
    <ds:schemaRef ds:uri="4948dcbb-4498-453a-bb2a-2f6e93dc52f8"/>
    <ds:schemaRef ds:uri="42031908-afc3-4861-95d9-cc85d1091e34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99BE27DC-457C-4BCB-9C59-C8565EF163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948dcbb-4498-453a-bb2a-2f6e93dc52f8"/>
    <ds:schemaRef ds:uri="42031908-afc3-4861-95d9-cc85d1091e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835927F-B24E-4EEE-A7FC-FB3B68731CD3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1bdfea1-5fcd-44c1-8196-dfa7afddd8c5}" enabled="0" method="" siteId="{e1bdfea1-5fcd-44c1-8196-dfa7afddd8c5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10</vt:i4>
      </vt:variant>
    </vt:vector>
  </HeadingPairs>
  <TitlesOfParts>
    <vt:vector size="14" baseType="lpstr">
      <vt:lpstr>ESTIMACIÓN </vt:lpstr>
      <vt:lpstr>MATRIZ TRAZA</vt:lpstr>
      <vt:lpstr>ADMIN TIEMPOS</vt:lpstr>
      <vt:lpstr>GUION</vt:lpstr>
      <vt:lpstr>COVER!AUTO</vt:lpstr>
      <vt:lpstr>AUTO</vt:lpstr>
      <vt:lpstr>COVER!CASO</vt:lpstr>
      <vt:lpstr>CASO</vt:lpstr>
      <vt:lpstr>comple</vt:lpstr>
      <vt:lpstr>COVER!Complejidad</vt:lpstr>
      <vt:lpstr>Complejidad</vt:lpstr>
      <vt:lpstr>Escenarios_de_pruebas</vt:lpstr>
      <vt:lpstr>COVER!TIPO</vt:lpstr>
      <vt:lpstr>TIPO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Viviana Lopez Olarte</dc:creator>
  <cp:keywords/>
  <dc:description/>
  <cp:lastModifiedBy>Sergio A. Molina Bernal</cp:lastModifiedBy>
  <cp:revision/>
  <dcterms:created xsi:type="dcterms:W3CDTF">2020-05-27T14:45:51Z</dcterms:created>
  <dcterms:modified xsi:type="dcterms:W3CDTF">2026-08-10T17:36:03Z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0x0101008A13845BC0BE8D498EAB0B4A65887C77</vt:lpwstr>
  </property>
  <property fmtid="{D5CDD505-2E9C-101B-9397-08002B2CF9AE}" pid="3" name="MediaServiceImageTags">
    <vt:lpwstr/>
  </property>
  <property fmtid="{D5CDD505-2E9C-101B-9397-08002B2CF9AE}" pid="4" name="xd_ProgID">
    <vt:lpwstr/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  <property fmtid="{D5CDD505-2E9C-101B-9397-08002B2CF9AE}" pid="10" name="Empresa">
    <vt:lpwstr>Periferia</vt:lpwstr>
  </property>
</Properties>
</file>